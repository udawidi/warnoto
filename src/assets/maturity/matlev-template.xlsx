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atlev 2026 UPT" sheetId="1" state="visible" r:id="rId1"/>
    <sheet name="Form 5 S" sheetId="2" state="visible" r:id="rId2"/>
  </sheets>
  <definedNames/>
  <calcPr calcId="191029" fullCalcOnLoad="1"/>
</workbook>
</file>

<file path=xl/styles.xml><?xml version="1.0" encoding="utf-8"?>
<styleSheet xmlns="http://schemas.openxmlformats.org/spreadsheetml/2006/main">
  <numFmts count="0"/>
  <fonts count="21">
    <font>
      <name val="Arial"/>
      <color theme="1"/>
      <sz val="11"/>
      <scheme val="minor"/>
    </font>
    <font>
      <name val="Times New Roman"/>
      <color rgb="FF000000"/>
      <sz val="11"/>
    </font>
    <font>
      <name val="Arial"/>
      <b val="1"/>
      <color theme="1"/>
      <sz val="9"/>
    </font>
    <font>
      <name val="Arial"/>
      <sz val="11"/>
    </font>
    <font>
      <name val="Arial"/>
      <color rgb="FF000000"/>
      <sz val="9"/>
    </font>
    <font>
      <name val="Arial"/>
      <color theme="1"/>
      <sz val="9"/>
    </font>
    <font>
      <name val="Arial"/>
      <strike val="1"/>
      <color theme="1"/>
      <sz val="9"/>
    </font>
    <font>
      <name val="Times New Roman"/>
      <color theme="1"/>
      <sz val="11"/>
    </font>
    <font>
      <name val="Arial"/>
      <color theme="1"/>
      <sz val="11"/>
    </font>
    <font>
      <name val="Arial"/>
      <color rgb="FFFF0000"/>
      <sz val="9"/>
    </font>
    <font>
      <name val="Aptos Narrow"/>
      <color theme="1"/>
      <sz val="11"/>
    </font>
    <font>
      <name val="Arial"/>
      <b val="1"/>
      <color theme="1"/>
      <sz val="11"/>
    </font>
    <font>
      <name val="Aptos Narrow"/>
      <b val="1"/>
      <color theme="1"/>
      <sz val="11"/>
    </font>
    <font>
      <name val="Arial"/>
      <b val="1"/>
      <color rgb="FFFFFFFF"/>
      <sz val="20"/>
    </font>
    <font>
      <name val="Arial"/>
      <b val="1"/>
      <color theme="1"/>
      <sz val="14"/>
    </font>
    <font>
      <name val="Arial"/>
      <b val="1"/>
      <color theme="1"/>
      <sz val="12"/>
    </font>
    <font>
      <name val="Arial"/>
      <color theme="1"/>
      <sz val="12"/>
    </font>
    <font>
      <name val="Arial"/>
      <color theme="1"/>
      <sz val="11"/>
      <scheme val="minor"/>
    </font>
    <font>
      <name val="Arial, sans-serif"/>
      <color theme="1"/>
      <sz val="9"/>
    </font>
    <font>
      <name val="Arial, sans-serif"/>
      <color rgb="FFFF0000"/>
      <sz val="9"/>
    </font>
    <font>
      <name val="Arial, sans-serif"/>
      <color rgb="FF000000"/>
      <sz val="9"/>
    </font>
  </fonts>
  <fills count="12">
    <fill>
      <patternFill/>
    </fill>
    <fill>
      <patternFill patternType="gray125"/>
    </fill>
    <fill>
      <patternFill patternType="solid">
        <fgColor rgb="FFFFDBA7"/>
        <bgColor rgb="FFFFDBA7"/>
      </patternFill>
    </fill>
    <fill>
      <patternFill patternType="solid">
        <fgColor rgb="FFD9D9D9"/>
        <bgColor rgb="FFD9D9D9"/>
      </patternFill>
    </fill>
    <fill>
      <patternFill patternType="solid">
        <fgColor rgb="FFB7B7B7"/>
        <bgColor rgb="FFB7B7B7"/>
      </patternFill>
    </fill>
    <fill>
      <patternFill patternType="solid">
        <fgColor theme="7"/>
        <bgColor theme="7"/>
      </patternFill>
    </fill>
    <fill>
      <patternFill patternType="solid">
        <fgColor rgb="FFCCCCCC"/>
        <bgColor rgb="FFCCCCCC"/>
      </patternFill>
    </fill>
    <fill>
      <patternFill patternType="solid">
        <fgColor rgb="FFFFFF00"/>
        <bgColor rgb="FFFFFF00"/>
      </patternFill>
    </fill>
    <fill>
      <patternFill patternType="solid">
        <fgColor rgb="FFC1F0C8"/>
        <bgColor rgb="FFC1F0C8"/>
      </patternFill>
    </fill>
    <fill>
      <patternFill patternType="solid">
        <fgColor rgb="FF00FFFF"/>
        <bgColor rgb="FF00FFFF"/>
      </patternFill>
    </fill>
    <fill>
      <patternFill patternType="solid">
        <fgColor rgb="FF074F6A"/>
        <bgColor rgb="FF074F6A"/>
      </patternFill>
    </fill>
    <fill>
      <patternFill patternType="solid">
        <fgColor rgb="FFA6C9CB"/>
        <bgColor rgb="FFA6C9CB"/>
      </patternFill>
    </fill>
  </fills>
  <borders count="24">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17" fillId="0" borderId="20"/>
  </cellStyleXfs>
  <cellXfs count="145">
    <xf numFmtId="0" fontId="0" fillId="0" borderId="0" pivotButton="0" quotePrefix="0" xfId="0"/>
    <xf numFmtId="0" fontId="1" fillId="0" borderId="0" applyAlignment="1" pivotButton="0" quotePrefix="0" xfId="0">
      <alignment horizontal="left" vertical="top"/>
    </xf>
    <xf numFmtId="0" fontId="2" fillId="2" borderId="11" applyAlignment="1" pivotButton="0" quotePrefix="0" xfId="0">
      <alignment horizontal="center" vertical="top"/>
    </xf>
    <xf numFmtId="0" fontId="1" fillId="3" borderId="16" applyAlignment="1" pivotButton="0" quotePrefix="0" xfId="0">
      <alignment horizontal="left"/>
    </xf>
    <xf numFmtId="0" fontId="1" fillId="4" borderId="11" applyAlignment="1" pivotButton="0" quotePrefix="0" xfId="0">
      <alignment horizontal="left" vertical="top"/>
    </xf>
    <xf numFmtId="0" fontId="1" fillId="0" borderId="0" applyAlignment="1" pivotButton="0" quotePrefix="0" xfId="0">
      <alignment horizontal="left" vertical="top" wrapText="1"/>
    </xf>
    <xf numFmtId="0" fontId="5" fillId="5" borderId="11" applyAlignment="1" pivotButton="0" quotePrefix="0" xfId="0">
      <alignment horizontal="left" vertical="top" wrapText="1"/>
    </xf>
    <xf numFmtId="0" fontId="1" fillId="5" borderId="11" applyAlignment="1" pivotButton="0" quotePrefix="0" xfId="0">
      <alignment horizontal="left" vertical="top" wrapText="1"/>
    </xf>
    <xf numFmtId="0" fontId="1" fillId="0" borderId="11" applyAlignment="1" pivotButton="0" quotePrefix="0" xfId="0">
      <alignment horizontal="left" vertical="top"/>
    </xf>
    <xf numFmtId="0" fontId="5" fillId="0" borderId="11" applyAlignment="1" pivotButton="0" quotePrefix="0" xfId="0">
      <alignment horizontal="left" vertical="top" wrapText="1"/>
    </xf>
    <xf numFmtId="0" fontId="1" fillId="0" borderId="11" applyAlignment="1" pivotButton="0" quotePrefix="0" xfId="0">
      <alignment horizontal="left" vertical="top" wrapText="1"/>
    </xf>
    <xf numFmtId="0" fontId="5" fillId="0" borderId="11" applyAlignment="1" pivotButton="0" quotePrefix="0" xfId="0">
      <alignment horizontal="center" vertical="top" wrapText="1"/>
    </xf>
    <xf numFmtId="0" fontId="1" fillId="0" borderId="0" applyAlignment="1" pivotButton="0" quotePrefix="0" xfId="0">
      <alignment horizontal="left" wrapText="1"/>
    </xf>
    <xf numFmtId="0" fontId="4" fillId="0" borderId="11" applyAlignment="1" pivotButton="0" quotePrefix="0" xfId="0">
      <alignment horizontal="center" vertical="top" wrapText="1"/>
    </xf>
    <xf numFmtId="0" fontId="4" fillId="0" borderId="11" applyAlignment="1" pivotButton="0" quotePrefix="0" xfId="0">
      <alignment horizontal="left" vertical="top" wrapText="1"/>
    </xf>
    <xf numFmtId="0" fontId="1" fillId="6" borderId="11" applyAlignment="1" pivotButton="0" quotePrefix="0" xfId="0">
      <alignment horizontal="left"/>
    </xf>
    <xf numFmtId="0" fontId="5" fillId="7" borderId="11" applyAlignment="1" pivotButton="0" quotePrefix="0" xfId="0">
      <alignment horizontal="left" vertical="top" wrapText="1"/>
    </xf>
    <xf numFmtId="0" fontId="1" fillId="7" borderId="11" applyAlignment="1" pivotButton="0" quotePrefix="0" xfId="0">
      <alignment horizontal="left" vertical="top" wrapText="1"/>
    </xf>
    <xf numFmtId="0" fontId="1" fillId="7" borderId="11" applyAlignment="1" pivotButton="0" quotePrefix="0" xfId="0">
      <alignment horizontal="left" vertical="top"/>
    </xf>
    <xf numFmtId="0" fontId="4" fillId="7" borderId="11" applyAlignment="1" pivotButton="0" quotePrefix="0" xfId="0">
      <alignment horizontal="left" vertical="top" wrapText="1"/>
    </xf>
    <xf numFmtId="0" fontId="7" fillId="5" borderId="11" applyAlignment="1" pivotButton="0" quotePrefix="0" xfId="0">
      <alignment horizontal="left" vertical="top" wrapText="1"/>
    </xf>
    <xf numFmtId="0" fontId="8" fillId="0" borderId="0" pivotButton="0" quotePrefix="0" xfId="0"/>
    <xf numFmtId="0" fontId="10" fillId="8" borderId="11" pivotButton="0" quotePrefix="0" xfId="0"/>
    <xf numFmtId="2" fontId="10" fillId="8" borderId="11" pivotButton="0" quotePrefix="0" xfId="0"/>
    <xf numFmtId="0" fontId="11" fillId="0" borderId="11" applyAlignment="1" pivotButton="0" quotePrefix="0" xfId="0">
      <alignment horizontal="center"/>
    </xf>
    <xf numFmtId="0" fontId="11" fillId="0" borderId="5" applyAlignment="1" pivotButton="0" quotePrefix="0" xfId="0">
      <alignment horizontal="center"/>
    </xf>
    <xf numFmtId="0" fontId="11" fillId="0" borderId="15" pivotButton="0" quotePrefix="0" xfId="0"/>
    <xf numFmtId="0" fontId="11" fillId="0" borderId="5" pivotButton="0" quotePrefix="0" xfId="0"/>
    <xf numFmtId="0" fontId="11" fillId="0" borderId="11" pivotButton="0" quotePrefix="0" xfId="0"/>
    <xf numFmtId="0" fontId="8" fillId="0" borderId="11" pivotButton="0" quotePrefix="0" xfId="0"/>
    <xf numFmtId="0" fontId="11" fillId="0" borderId="0" pivotButton="0" quotePrefix="0" xfId="0"/>
    <xf numFmtId="0" fontId="8" fillId="0" borderId="11" applyAlignment="1" pivotButton="0" quotePrefix="0" xfId="0">
      <alignment horizontal="center"/>
    </xf>
    <xf numFmtId="0" fontId="8" fillId="0" borderId="15" pivotButton="0" quotePrefix="0" xfId="0"/>
    <xf numFmtId="0" fontId="8" fillId="0" borderId="5" pivotButton="0" quotePrefix="0" xfId="0"/>
    <xf numFmtId="0" fontId="8" fillId="9" borderId="11" pivotButton="0" quotePrefix="0" xfId="0"/>
    <xf numFmtId="0" fontId="8" fillId="7" borderId="17" pivotButton="0" quotePrefix="0" xfId="0"/>
    <xf numFmtId="0" fontId="10" fillId="0" borderId="0" pivotButton="0" quotePrefix="0" xfId="0"/>
    <xf numFmtId="0" fontId="14" fillId="11" borderId="11" applyAlignment="1" pivotButton="0" quotePrefix="0" xfId="0">
      <alignment horizontal="center"/>
    </xf>
    <xf numFmtId="0" fontId="10" fillId="0" borderId="0" applyAlignment="1" pivotButton="0" quotePrefix="0" xfId="0">
      <alignment horizontal="center"/>
    </xf>
    <xf numFmtId="0" fontId="16" fillId="0" borderId="14" applyAlignment="1" pivotButton="0" quotePrefix="0" xfId="0">
      <alignment wrapText="1"/>
    </xf>
    <xf numFmtId="0" fontId="10" fillId="0" borderId="11" applyAlignment="1" pivotButton="0" quotePrefix="0" xfId="0">
      <alignment horizontal="center"/>
    </xf>
    <xf numFmtId="0" fontId="17" fillId="0" borderId="0" pivotButton="0" quotePrefix="0" xfId="0"/>
    <xf numFmtId="0" fontId="10" fillId="0" borderId="0" applyAlignment="1" pivotButton="0" quotePrefix="0" xfId="0">
      <alignment horizontal="right"/>
    </xf>
    <xf numFmtId="0" fontId="16" fillId="0" borderId="11" applyAlignment="1" pivotButton="0" quotePrefix="0" xfId="0">
      <alignment wrapText="1"/>
    </xf>
    <xf numFmtId="0" fontId="16" fillId="0" borderId="11" pivotButton="0" quotePrefix="0" xfId="0"/>
    <xf numFmtId="0" fontId="16" fillId="0" borderId="8" pivotButton="0" quotePrefix="0" xfId="0"/>
    <xf numFmtId="10" fontId="12" fillId="0" borderId="11" applyAlignment="1" pivotButton="0" quotePrefix="0" xfId="0">
      <alignment horizontal="center"/>
    </xf>
    <xf numFmtId="10" fontId="12" fillId="0" borderId="0" applyAlignment="1" pivotButton="0" quotePrefix="0" xfId="0">
      <alignment horizontal="center"/>
    </xf>
    <xf numFmtId="0" fontId="1" fillId="0" borderId="8" applyAlignment="1" pivotButton="0" quotePrefix="0" xfId="0">
      <alignment horizontal="left" vertical="top" wrapText="1"/>
    </xf>
    <xf numFmtId="0" fontId="3" fillId="0" borderId="14" pivotButton="0" quotePrefix="0" xfId="0"/>
    <xf numFmtId="0" fontId="2" fillId="2" borderId="3" applyAlignment="1" pivotButton="0" quotePrefix="0" xfId="0">
      <alignment horizontal="left" vertical="top"/>
    </xf>
    <xf numFmtId="0" fontId="3" fillId="0" borderId="5" pivotButton="0" quotePrefix="0" xfId="0"/>
    <xf numFmtId="0" fontId="5" fillId="5" borderId="4" applyAlignment="1" pivotButton="0" quotePrefix="0" xfId="0">
      <alignment horizontal="left" vertical="top" wrapText="1"/>
    </xf>
    <xf numFmtId="0" fontId="3" fillId="0" borderId="4" pivotButton="0" quotePrefix="0" xfId="0"/>
    <xf numFmtId="0" fontId="2" fillId="2" borderId="3" applyAlignment="1" pivotButton="0" quotePrefix="0" xfId="0">
      <alignment horizontal="center" vertical="top"/>
    </xf>
    <xf numFmtId="0" fontId="2" fillId="3" borderId="15" applyAlignment="1" pivotButton="0" quotePrefix="0" xfId="0">
      <alignment horizontal="left" vertical="top"/>
    </xf>
    <xf numFmtId="0" fontId="1" fillId="0" borderId="0" applyAlignment="1" pivotButton="0" quotePrefix="0" xfId="0">
      <alignment horizontal="left" vertical="top"/>
    </xf>
    <xf numFmtId="0" fontId="0" fillId="0" borderId="0" pivotButton="0" quotePrefix="0" xfId="0"/>
    <xf numFmtId="0" fontId="2" fillId="2" borderId="1" applyAlignment="1" pivotButton="0" quotePrefix="0" xfId="0">
      <alignment horizontal="left" vertical="top"/>
    </xf>
    <xf numFmtId="0" fontId="3" fillId="0" borderId="2" pivotButton="0" quotePrefix="0" xfId="0"/>
    <xf numFmtId="0" fontId="3" fillId="0" borderId="9" pivotButton="0" quotePrefix="0" xfId="0"/>
    <xf numFmtId="0" fontId="3" fillId="0" borderId="10" pivotButton="0" quotePrefix="0" xfId="0"/>
    <xf numFmtId="0" fontId="2" fillId="2" borderId="1" applyAlignment="1" pivotButton="0" quotePrefix="0" xfId="0">
      <alignment horizontal="center" vertical="top"/>
    </xf>
    <xf numFmtId="0" fontId="3" fillId="0" borderId="6" pivotButton="0" quotePrefix="0" xfId="0"/>
    <xf numFmtId="0" fontId="3" fillId="0" borderId="7" pivotButton="0" quotePrefix="0" xfId="0"/>
    <xf numFmtId="0" fontId="3" fillId="0" borderId="12" pivotButton="0" quotePrefix="0" xfId="0"/>
    <xf numFmtId="0" fontId="3" fillId="0" borderId="13" pivotButton="0" quotePrefix="0" xfId="0"/>
    <xf numFmtId="0" fontId="2" fillId="2" borderId="8" applyAlignment="1" pivotButton="0" quotePrefix="0" xfId="0">
      <alignment horizontal="center" vertical="top"/>
    </xf>
    <xf numFmtId="0" fontId="1" fillId="0" borderId="0" applyAlignment="1" pivotButton="0" quotePrefix="0" xfId="0">
      <alignment horizontal="left"/>
    </xf>
    <xf numFmtId="0" fontId="4" fillId="0" borderId="15" applyAlignment="1" pivotButton="0" quotePrefix="0" xfId="0">
      <alignment horizontal="center" vertical="top" wrapText="1"/>
    </xf>
    <xf numFmtId="0" fontId="5" fillId="0" borderId="4" applyAlignment="1" pivotButton="0" quotePrefix="0" xfId="0">
      <alignment horizontal="left" vertical="top" wrapText="1"/>
    </xf>
    <xf numFmtId="0" fontId="4" fillId="0" borderId="4" applyAlignment="1" pivotButton="0" quotePrefix="0" xfId="0">
      <alignment horizontal="left" vertical="top" wrapText="1"/>
    </xf>
    <xf numFmtId="0" fontId="2" fillId="3" borderId="15" applyAlignment="1" pivotButton="0" quotePrefix="0" xfId="0">
      <alignment horizontal="left" vertical="top" wrapText="1"/>
    </xf>
    <xf numFmtId="0" fontId="1" fillId="0" borderId="0" applyAlignment="1" pivotButton="0" quotePrefix="0" xfId="0">
      <alignment horizontal="left" wrapText="1"/>
    </xf>
    <xf numFmtId="0" fontId="5" fillId="0" borderId="15" applyAlignment="1" pivotButton="0" quotePrefix="0" xfId="0">
      <alignment horizontal="center" vertical="top" wrapText="1"/>
    </xf>
    <xf numFmtId="0" fontId="1" fillId="0" borderId="0" applyAlignment="1" pivotButton="0" quotePrefix="0" xfId="0">
      <alignment horizontal="left" vertical="top" wrapText="1"/>
    </xf>
    <xf numFmtId="0" fontId="4" fillId="5" borderId="15" applyAlignment="1" pivotButton="0" quotePrefix="0" xfId="0">
      <alignment horizontal="center" vertical="top" wrapText="1"/>
    </xf>
    <xf numFmtId="0" fontId="1" fillId="0" borderId="4" applyAlignment="1" pivotButton="0" quotePrefix="0" xfId="0">
      <alignment horizontal="left" vertical="top" wrapText="1"/>
    </xf>
    <xf numFmtId="0" fontId="5" fillId="0" borderId="4" applyAlignment="1" pivotButton="0" quotePrefix="0" xfId="0">
      <alignment horizontal="center" vertical="top" wrapText="1"/>
    </xf>
    <xf numFmtId="0" fontId="5" fillId="0" borderId="15" applyAlignment="1" pivotButton="0" quotePrefix="0" xfId="0">
      <alignment horizontal="left" vertical="top" wrapText="1"/>
    </xf>
    <xf numFmtId="0" fontId="4" fillId="0" borderId="15" applyAlignment="1" pivotButton="0" quotePrefix="1" xfId="0">
      <alignment horizontal="center" vertical="top" wrapText="1"/>
    </xf>
    <xf numFmtId="0" fontId="4" fillId="0" borderId="15" applyAlignment="1" pivotButton="0" quotePrefix="0" xfId="0">
      <alignment horizontal="left" vertical="top" wrapText="1"/>
    </xf>
    <xf numFmtId="0" fontId="1" fillId="0" borderId="15" applyAlignment="1" pivotButton="0" quotePrefix="0" xfId="0">
      <alignment horizontal="center" vertical="top" wrapText="1"/>
    </xf>
    <xf numFmtId="0" fontId="5" fillId="7" borderId="3" applyAlignment="1" pivotButton="0" quotePrefix="0" xfId="0">
      <alignment horizontal="left" vertical="top" wrapText="1"/>
    </xf>
    <xf numFmtId="0" fontId="5" fillId="7" borderId="15" applyAlignment="1" pivotButton="0" quotePrefix="0" xfId="0">
      <alignment horizontal="left" vertical="top" wrapText="1"/>
    </xf>
    <xf numFmtId="2" fontId="12" fillId="7" borderId="15" applyAlignment="1" pivotButton="0" quotePrefix="0" xfId="0">
      <alignment horizontal="center"/>
    </xf>
    <xf numFmtId="0" fontId="8" fillId="0" borderId="15" pivotButton="0" quotePrefix="0" xfId="0"/>
    <xf numFmtId="0" fontId="1" fillId="7" borderId="3" applyAlignment="1" pivotButton="0" quotePrefix="0" xfId="0">
      <alignment horizontal="left" vertical="top" wrapText="1"/>
    </xf>
    <xf numFmtId="0" fontId="1" fillId="0" borderId="15" applyAlignment="1" pivotButton="0" quotePrefix="0" xfId="0">
      <alignment horizontal="left" vertical="top" wrapText="1"/>
    </xf>
    <xf numFmtId="0" fontId="6" fillId="0" borderId="4" applyAlignment="1" pivotButton="0" quotePrefix="0" xfId="0">
      <alignment horizontal="left" vertical="top" wrapText="1"/>
    </xf>
    <xf numFmtId="0" fontId="8" fillId="0" borderId="15" applyAlignment="1" pivotButton="0" quotePrefix="0" xfId="0">
      <alignment horizontal="center" vertical="top"/>
    </xf>
    <xf numFmtId="0" fontId="9" fillId="7" borderId="3" applyAlignment="1" pivotButton="0" quotePrefix="0" xfId="0">
      <alignment horizontal="left" vertical="top" wrapText="1"/>
    </xf>
    <xf numFmtId="0" fontId="2" fillId="6" borderId="15" applyAlignment="1" pivotButton="0" quotePrefix="0" xfId="0">
      <alignment horizontal="left" vertical="top" wrapText="1"/>
    </xf>
    <xf numFmtId="0" fontId="4" fillId="7" borderId="15" applyAlignment="1" pivotButton="0" quotePrefix="0" xfId="0">
      <alignment horizontal="left" vertical="top" wrapText="1"/>
    </xf>
    <xf numFmtId="0" fontId="4" fillId="7" borderId="3" applyAlignment="1" pivotButton="0" quotePrefix="0" xfId="0">
      <alignment horizontal="left" vertical="top" wrapText="1"/>
    </xf>
    <xf numFmtId="0" fontId="4" fillId="5" borderId="4" applyAlignment="1" pivotButton="0" quotePrefix="0" xfId="0">
      <alignment horizontal="left" vertical="top" wrapText="1"/>
    </xf>
    <xf numFmtId="0" fontId="15" fillId="0" borderId="21" applyAlignment="1" pivotButton="0" quotePrefix="0" xfId="0">
      <alignment horizontal="center" wrapText="1"/>
    </xf>
    <xf numFmtId="0" fontId="3" fillId="0" borderId="21" pivotButton="0" quotePrefix="0" xfId="0"/>
    <xf numFmtId="0" fontId="16" fillId="0" borderId="21" applyAlignment="1" pivotButton="0" quotePrefix="0" xfId="0">
      <alignment wrapText="1"/>
    </xf>
    <xf numFmtId="0" fontId="15" fillId="11" borderId="15" applyAlignment="1" pivotButton="0" quotePrefix="0" xfId="0">
      <alignment horizontal="center"/>
    </xf>
    <xf numFmtId="0" fontId="13" fillId="10" borderId="18" applyAlignment="1" pivotButton="0" quotePrefix="0" xfId="0">
      <alignment horizontal="center"/>
    </xf>
    <xf numFmtId="0" fontId="3" fillId="0" borderId="19" pivotButton="0" quotePrefix="0" xfId="0"/>
    <xf numFmtId="0" fontId="3" fillId="0" borderId="20" pivotButton="0" quotePrefix="0" xfId="0"/>
    <xf numFmtId="0" fontId="16" fillId="0" borderId="21" applyAlignment="1" pivotButton="0" quotePrefix="0" xfId="0">
      <alignment vertical="center" wrapText="1"/>
    </xf>
    <xf numFmtId="0" fontId="1" fillId="0" borderId="20" applyAlignment="1" pivotButton="0" quotePrefix="0" xfId="0">
      <alignment horizontal="left" vertical="top"/>
    </xf>
    <xf numFmtId="0" fontId="2" fillId="2" borderId="11" applyAlignment="1" pivotButton="0" quotePrefix="0" xfId="0">
      <alignment horizontal="left" vertical="top"/>
    </xf>
    <xf numFmtId="0" fontId="0" fillId="0" borderId="2" pivotButton="0" quotePrefix="0" xfId="0"/>
    <xf numFmtId="0" fontId="2" fillId="2" borderId="5" applyAlignment="1" pivotButton="0" quotePrefix="0" xfId="0">
      <alignment horizontal="center" vertical="top"/>
    </xf>
    <xf numFmtId="0" fontId="0" fillId="0" borderId="4" pivotButton="0" quotePrefix="0" xfId="0"/>
    <xf numFmtId="0" fontId="0" fillId="0" borderId="5" pivotButton="0" quotePrefix="0" xfId="0"/>
    <xf numFmtId="0" fontId="2" fillId="2" borderId="15" applyAlignment="1" pivotButton="0" quotePrefix="0" xfId="0">
      <alignment horizontal="center" vertical="top"/>
    </xf>
    <xf numFmtId="0" fontId="0" fillId="0" borderId="7" pivotButton="0" quotePrefix="0" xfId="0"/>
    <xf numFmtId="0" fontId="1" fillId="0" borderId="20" applyAlignment="1" pivotButton="0" quotePrefix="0" xfId="0">
      <alignment horizontal="left"/>
    </xf>
    <xf numFmtId="0" fontId="0" fillId="0" borderId="9" pivotButton="0" quotePrefix="0" xfId="0"/>
    <xf numFmtId="0" fontId="0" fillId="0" borderId="10" pivotButton="0" quotePrefix="0" xfId="0"/>
    <xf numFmtId="0" fontId="2" fillId="2" borderId="5" applyAlignment="1" pivotButton="0" quotePrefix="0" xfId="0">
      <alignment horizontal="left" vertical="top"/>
    </xf>
    <xf numFmtId="0" fontId="0" fillId="0" borderId="13" pivotButton="0" quotePrefix="0" xfId="0"/>
    <xf numFmtId="0" fontId="0" fillId="0" borderId="16" pivotButton="0" quotePrefix="0" xfId="0"/>
    <xf numFmtId="0" fontId="2" fillId="3" borderId="11" applyAlignment="1" pivotButton="0" quotePrefix="0" xfId="0">
      <alignment horizontal="left" vertical="top"/>
    </xf>
    <xf numFmtId="0" fontId="4" fillId="5" borderId="11" applyAlignment="1" pivotButton="0" quotePrefix="0" xfId="0">
      <alignment horizontal="center" vertical="top" wrapText="1"/>
    </xf>
    <xf numFmtId="0" fontId="5" fillId="5" borderId="5" applyAlignment="1" pivotButton="0" quotePrefix="0" xfId="0">
      <alignment horizontal="left" vertical="top" wrapText="1"/>
    </xf>
    <xf numFmtId="0" fontId="1" fillId="0" borderId="20" applyAlignment="1" pivotButton="0" quotePrefix="0" xfId="0">
      <alignment horizontal="left" vertical="top" wrapText="1"/>
    </xf>
    <xf numFmtId="0" fontId="5" fillId="0" borderId="5" applyAlignment="1" pivotButton="0" quotePrefix="0" xfId="0">
      <alignment horizontal="left" vertical="top" wrapText="1"/>
    </xf>
    <xf numFmtId="0" fontId="4" fillId="0" borderId="5" applyAlignment="1" pivotButton="0" quotePrefix="0" xfId="0">
      <alignment horizontal="left" vertical="top" wrapText="1"/>
    </xf>
    <xf numFmtId="0" fontId="1" fillId="0" borderId="5" applyAlignment="1" pivotButton="0" quotePrefix="0" xfId="0">
      <alignment horizontal="left" vertical="top" wrapText="1"/>
    </xf>
    <xf numFmtId="0" fontId="5" fillId="0" borderId="5" applyAlignment="1" pivotButton="0" quotePrefix="0" xfId="0">
      <alignment horizontal="center" vertical="top" wrapText="1"/>
    </xf>
    <xf numFmtId="0" fontId="1" fillId="0" borderId="20" applyAlignment="1" pivotButton="0" quotePrefix="0" xfId="0">
      <alignment horizontal="left" wrapText="1"/>
    </xf>
    <xf numFmtId="0" fontId="4" fillId="0" borderId="11" applyAlignment="1" pivotButton="0" quotePrefix="1" xfId="0">
      <alignment horizontal="center" vertical="top" wrapText="1"/>
    </xf>
    <xf numFmtId="0" fontId="2" fillId="3" borderId="11" applyAlignment="1" pivotButton="0" quotePrefix="0" xfId="0">
      <alignment horizontal="left" vertical="top" wrapText="1"/>
    </xf>
    <xf numFmtId="0" fontId="2" fillId="6" borderId="11" applyAlignment="1" pivotButton="0" quotePrefix="0" xfId="0">
      <alignment horizontal="left" vertical="top" wrapText="1"/>
    </xf>
    <xf numFmtId="0" fontId="1" fillId="0" borderId="11" applyAlignment="1" pivotButton="0" quotePrefix="0" xfId="0">
      <alignment horizontal="center" vertical="top" wrapText="1"/>
    </xf>
    <xf numFmtId="0" fontId="5" fillId="7" borderId="5" applyAlignment="1" pivotButton="0" quotePrefix="0" xfId="0">
      <alignment horizontal="left" vertical="top" wrapText="1"/>
    </xf>
    <xf numFmtId="0" fontId="4" fillId="7" borderId="5" applyAlignment="1" pivotButton="0" quotePrefix="0" xfId="0">
      <alignment horizontal="left" vertical="top" wrapText="1"/>
    </xf>
    <xf numFmtId="0" fontId="4" fillId="5" borderId="5" applyAlignment="1" pivotButton="0" quotePrefix="0" xfId="0">
      <alignment horizontal="left" vertical="top" wrapText="1"/>
    </xf>
    <xf numFmtId="0" fontId="1" fillId="7" borderId="5" applyAlignment="1" pivotButton="0" quotePrefix="0" xfId="0">
      <alignment horizontal="left" vertical="top" wrapText="1"/>
    </xf>
    <xf numFmtId="0" fontId="6" fillId="0" borderId="5" applyAlignment="1" pivotButton="0" quotePrefix="0" xfId="0">
      <alignment horizontal="left" vertical="top" wrapText="1"/>
    </xf>
    <xf numFmtId="0" fontId="8" fillId="0" borderId="11" applyAlignment="1" pivotButton="0" quotePrefix="0" xfId="0">
      <alignment horizontal="center" vertical="top"/>
    </xf>
    <xf numFmtId="0" fontId="9" fillId="7" borderId="5" applyAlignment="1" pivotButton="0" quotePrefix="0" xfId="0">
      <alignment horizontal="left" vertical="top" wrapText="1"/>
    </xf>
    <xf numFmtId="2" fontId="12" fillId="7" borderId="11" applyAlignment="1" pivotButton="0" quotePrefix="0" xfId="0">
      <alignment horizontal="center"/>
    </xf>
    <xf numFmtId="0" fontId="13" fillId="10" borderId="20" applyAlignment="1" pivotButton="0" quotePrefix="0" xfId="0">
      <alignment horizontal="center"/>
    </xf>
    <xf numFmtId="0" fontId="15" fillId="0" borderId="16" applyAlignment="1" pivotButton="0" quotePrefix="0" xfId="0">
      <alignment horizontal="center" wrapText="1"/>
    </xf>
    <xf numFmtId="0" fontId="16" fillId="0" borderId="16" applyAlignment="1" pivotButton="0" quotePrefix="0" xfId="0">
      <alignment vertical="center" wrapText="1"/>
    </xf>
    <xf numFmtId="0" fontId="0" fillId="0" borderId="21" pivotButton="0" quotePrefix="0" xfId="0"/>
    <xf numFmtId="0" fontId="16" fillId="0" borderId="16" applyAlignment="1" pivotButton="0" quotePrefix="0" xfId="0">
      <alignment wrapText="1"/>
    </xf>
    <xf numFmtId="0" fontId="15" fillId="11" borderId="11"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Y48"/>
  <sheetViews>
    <sheetView tabSelected="1" topLeftCell="D1" zoomScale="76" workbookViewId="0">
      <pane ySplit="2" topLeftCell="A39" activePane="bottomLeft" state="frozen"/>
      <selection pane="bottomLeft" activeCell="G41" sqref="G41:G46"/>
    </sheetView>
  </sheetViews>
  <sheetFormatPr baseColWidth="8" defaultColWidth="12.625" defaultRowHeight="15" customHeight="1"/>
  <cols>
    <col hidden="1" width="12.625" customWidth="1" style="57" min="1" max="3"/>
    <col width="9.75" customWidth="1" style="57" min="4" max="4"/>
    <col width="1.375" customWidth="1" style="57" min="5" max="5"/>
    <col width="9.75" customWidth="1" style="57" min="6" max="6"/>
    <col width="36.125" customWidth="1" style="57" min="7" max="7"/>
    <col width="20.75" customWidth="1" style="57" min="8" max="8"/>
    <col width="21.625" customWidth="1" style="57" min="9" max="9"/>
    <col width="11.25" customWidth="1" style="57" min="10" max="10"/>
    <col width="16.75" customWidth="1" style="57" min="11" max="11"/>
    <col width="18.75" customWidth="1" style="57" min="12" max="12"/>
    <col width="19.75" customWidth="1" style="57" min="14" max="14"/>
    <col width="21" customWidth="1" style="57" min="15" max="15"/>
    <col width="20.5" customWidth="1" style="57" min="16" max="16"/>
    <col width="32.375" customWidth="1" style="57" min="17" max="17"/>
    <col width="29.125" customWidth="1" style="57" min="18" max="18"/>
    <col width="21.75" customWidth="1" style="57" min="19" max="19"/>
    <col width="17" customWidth="1" style="57" min="22" max="22"/>
    <col width="17.125" customWidth="1" style="57" min="24" max="24"/>
    <col width="21.375" customWidth="1" style="57" min="25" max="25"/>
  </cols>
  <sheetData>
    <row r="1">
      <c r="A1" s="56" t="n"/>
      <c r="B1" s="104" t="n"/>
      <c r="D1" s="105" t="inlineStr">
        <is>
          <t>No</t>
        </is>
      </c>
      <c r="E1" s="106" t="n"/>
      <c r="F1" s="2" t="inlineStr">
        <is>
          <t>Kategori</t>
        </is>
      </c>
      <c r="G1" s="106" t="n"/>
      <c r="H1" s="107" t="inlineStr">
        <is>
          <t>Level Asesmen</t>
        </is>
      </c>
      <c r="I1" s="108" t="n"/>
      <c r="J1" s="108" t="n"/>
      <c r="K1" s="108" t="n"/>
      <c r="L1" s="108" t="n"/>
      <c r="M1" s="108" t="n"/>
      <c r="N1" s="108" t="n"/>
      <c r="O1" s="108" t="n"/>
      <c r="P1" s="109" t="n"/>
      <c r="Q1" s="2" t="inlineStr">
        <is>
          <t>Evidence</t>
        </is>
      </c>
      <c r="R1" s="106" t="n"/>
      <c r="S1" s="110" t="inlineStr">
        <is>
          <t>Keterangan</t>
        </is>
      </c>
      <c r="T1" s="111" t="n"/>
      <c r="U1" s="111" t="n"/>
      <c r="V1" s="2" t="inlineStr">
        <is>
          <t>Tipe Gudang</t>
        </is>
      </c>
      <c r="W1" s="56" t="n"/>
      <c r="X1" s="10" t="inlineStr">
        <is>
          <t xml:space="preserve">Gudang Persediaan (Gudang Tertutup, Kinerja 2025) </t>
        </is>
      </c>
      <c r="Y1" s="10" t="inlineStr">
        <is>
          <t>Gudang MRWI/ATTB (Gudang Terbuka/Tertutup)</t>
        </is>
      </c>
    </row>
    <row r="2">
      <c r="A2" s="56" t="n"/>
      <c r="B2" s="112" t="n"/>
      <c r="D2" s="113" t="n"/>
      <c r="E2" s="114" t="n"/>
      <c r="F2" s="113" t="n"/>
      <c r="G2" s="114" t="n"/>
      <c r="H2" s="2" t="inlineStr">
        <is>
          <t>Level 1</t>
        </is>
      </c>
      <c r="I2" s="107" t="inlineStr">
        <is>
          <t>Level 2</t>
        </is>
      </c>
      <c r="J2" s="109" t="n"/>
      <c r="K2" s="115" t="inlineStr">
        <is>
          <t>Level 3</t>
        </is>
      </c>
      <c r="L2" s="109" t="n"/>
      <c r="M2" s="115" t="inlineStr">
        <is>
          <t>Level 4</t>
        </is>
      </c>
      <c r="N2" s="109" t="n"/>
      <c r="O2" s="107" t="inlineStr">
        <is>
          <t>Level 5</t>
        </is>
      </c>
      <c r="P2" s="109" t="n"/>
      <c r="Q2" s="113" t="n"/>
      <c r="R2" s="114" t="n"/>
      <c r="S2" s="113" t="n"/>
      <c r="T2" s="116" t="n"/>
      <c r="U2" s="116" t="n"/>
      <c r="V2" s="117" t="n"/>
      <c r="W2" s="56" t="n"/>
      <c r="X2" s="117" t="n"/>
      <c r="Y2" s="117" t="n"/>
    </row>
    <row r="3">
      <c r="A3" s="56" t="n"/>
      <c r="B3" s="112" t="n"/>
      <c r="D3" s="118" t="inlineStr">
        <is>
          <t>1. Tata Kelola Gudang</t>
        </is>
      </c>
      <c r="E3" s="108" t="n"/>
      <c r="F3" s="108" t="n"/>
      <c r="G3" s="108" t="n"/>
      <c r="H3" s="108" t="n"/>
      <c r="I3" s="108" t="n"/>
      <c r="J3" s="108" t="n"/>
      <c r="K3" s="108" t="n"/>
      <c r="L3" s="108" t="n"/>
      <c r="M3" s="108" t="n"/>
      <c r="N3" s="108" t="n"/>
      <c r="O3" s="108" t="n"/>
      <c r="P3" s="108" t="n"/>
      <c r="Q3" s="108" t="n"/>
      <c r="R3" s="108" t="n"/>
      <c r="S3" s="108" t="n"/>
      <c r="T3" s="108" t="n"/>
      <c r="U3" s="109" t="n"/>
      <c r="V3" s="3" t="n"/>
      <c r="W3" s="56" t="n"/>
      <c r="X3" s="4">
        <f>AVERAGE(X4:X13)</f>
        <v/>
      </c>
      <c r="Y3" s="4" t="n"/>
    </row>
    <row r="4" ht="202.5" customHeight="1" s="57">
      <c r="A4" s="56" t="n"/>
      <c r="B4" s="75" t="n"/>
      <c r="C4" s="75" t="n"/>
      <c r="D4" s="119" t="n">
        <v>1.1</v>
      </c>
      <c r="E4" s="109" t="n"/>
      <c r="F4" s="120" t="inlineStr">
        <is>
          <t>Ketersediaan Probis Pengelolaan Logistik Material</t>
        </is>
      </c>
      <c r="G4" s="109" t="n"/>
      <c r="H4" s="6" t="inlineStr">
        <is>
          <t>Tidak Ada Probis sesuai Eviden</t>
        </is>
      </c>
      <c r="I4" s="120" t="inlineStr">
        <is>
          <t xml:space="preserve">Probis belum lengkap sesuai eviden (kurang dari 2) yang telah bertandatangan General Manager </t>
        </is>
      </c>
      <c r="J4" s="109" t="n"/>
      <c r="K4" s="120" t="inlineStr">
        <is>
          <t>MInimal 3 dari 7 sudah terpenuhi lengkap sesuai eviden dan telah bertanda tangan General Manager</t>
        </is>
      </c>
      <c r="L4" s="109" t="n"/>
      <c r="M4" s="120" t="inlineStr">
        <is>
          <t>MInimal 5 dari 7 Probis sudah terpenuhi lengkap sesuai eviden dan telah bertanda tangan General Manager</t>
        </is>
      </c>
      <c r="N4" s="109" t="n"/>
      <c r="O4" s="120" t="inlineStr">
        <is>
          <t>7 Probis sudah terpenuhi lengkap sesuai eviden dan telah bertanda tangan General Manager periode berjalan</t>
        </is>
      </c>
      <c r="P4" s="109" t="n"/>
      <c r="Q4" s="120" t="inlineStr">
        <is>
          <t>&gt;Evidence:
1. Probis Pemeriksaan dan Penerimaan Material Persediaan (flowchart)
2. Probis Penerimaan Material Sisa Pemakaian / Pengembalian Material dari User (flowchart)
3. Probis Pengeluaran Material untuk Pemakaian Normal
4. Probis Pengeluaran Material untuk Pemakaian Emergency
5. Probis Pemeriksaan Fisik Material (Stock Opname)
6. Probis Transfer/Mutasi Material Antar Gudang dalam 1 Unit Induk (Intra Company)
7. Probis Transfer/Mutasi Material Antar Gudang Antar Unit Induk (Inter Company)</t>
        </is>
      </c>
      <c r="R4" s="109" t="n"/>
      <c r="S4" s="120" t="inlineStr">
        <is>
          <t xml:space="preserve"> Note:
 1. Eviden harus terpenuhi lengkap untuk level yang ingin dicapai. 
 2. Dokumen Eviden (Probis) tertanda tangan oleh GM
 3. Menunjukan evidence yang telah dilakukan (batas waktu di dokumen eviden, hingga tanggal pelaksanaan self assessment)
</t>
        </is>
      </c>
      <c r="T4" s="108" t="n"/>
      <c r="U4" s="109" t="n"/>
      <c r="V4" s="7" t="inlineStr">
        <is>
          <t xml:space="preserve">Gudang Persediaan (Gudang Tertutup, Kinerja 2025) </t>
        </is>
      </c>
      <c r="W4" s="56" t="n"/>
      <c r="X4" s="8" t="n">
        <v>0</v>
      </c>
      <c r="Y4" s="8" t="n"/>
    </row>
    <row r="5" ht="199.5" customHeight="1" s="57">
      <c r="A5" s="56" t="n"/>
      <c r="B5" s="121" t="n">
        <v>0</v>
      </c>
      <c r="D5" s="13" t="inlineStr">
        <is>
          <t>1,2</t>
        </is>
      </c>
      <c r="E5" s="109" t="n"/>
      <c r="F5" s="122" t="inlineStr">
        <is>
          <t>Implementasi Proses Bisnis Penerimaan Material</t>
        </is>
      </c>
      <c r="G5" s="109" t="n"/>
      <c r="H5" s="9" t="inlineStr">
        <is>
          <t>Eviden tidak lengkap (kurang dari 7 eviden) pada 2 sampling material</t>
        </is>
      </c>
      <c r="I5" s="122" t="inlineStr">
        <is>
          <t xml:space="preserve">Eviden lengkap (7 item) namun terdapat ketidakrunutan tanggal dari eviden (ada backdate) pada 2 sampling material   </t>
        </is>
      </c>
      <c r="J5" s="109" t="n"/>
      <c r="K5" s="122" t="inlineStr">
        <is>
          <t xml:space="preserve">Eviden lengkap (7 item) namun terdapat ketidakrunutan tanggal dari eviden (ada backdate) pada salah satu sampling material   </t>
        </is>
      </c>
      <c r="L5" s="109" t="n"/>
      <c r="M5" s="122" t="inlineStr">
        <is>
          <t>Eviden lengkap (7 item) untuk 2 sampling material termasuk kerunutan tanggal dari setiap nomor eviden (tidak ada backdate)</t>
        </is>
      </c>
      <c r="N5" s="109" t="n"/>
      <c r="O5" s="122" t="inlineStr">
        <is>
          <t xml:space="preserve">Level 4 terpenuhi dan Inovasi terhadap probis penerimaan (Digitalisasi terintegrasi dengan penggunaan aplikasi SMAR untuk penerimaan MTU KHS). 
Dengan salah satu sampling adalah MTU KHS
*Untuk UP2B : Level 4 terpenuhi dan Inovasi terhadap probis penerimaan (Digitalisasi terintegrasi dengan penggunaan aplikasi terkait penerimaan material). 
</t>
        </is>
      </c>
      <c r="P5" s="109" t="n"/>
      <c r="Q5" s="122" t="inlineStr">
        <is>
          <t xml:space="preserve">&gt; Evidence 1 cycle (Sampling 2 Material):
  1. Surat Jalan dari Vendor ke PLN
  2. Kontrak Material / SPB UPT
  3. Form PO Material (dari SAP/SMAR) 
  4. Form Pemeriksaan TUG 4 (SAP/SMAR) tertanda tangan pihak terkait
  5. Form Penerimaan TUG 3 (SAP/SMAR) tertanda tangan pihak terkait
  6. Kartu Gantung TUG 2
  7. Foto Material 
 </t>
        </is>
      </c>
      <c r="R5" s="109" t="n"/>
      <c r="S5" s="122" t="inlineStr">
        <is>
          <t xml:space="preserve"> Note:
 1. Evidence harus terpenuhi lengkap untuk level yang ingin dicapai
 2. Menunjukan evidence yang telah dilakukan (batas waktu di dokumen eviden, hingga tanggal pelaksanaan self assessment)
 3. Apabila yang disampling adalah material non stock yang tidak terdapat TUG secara SMAR/SAP dapat menunjukkan TUG Manual (TUG 3, 4), Bon Pemakaian (TUG 9), PO (SAP) dan Good Receipt (SAP)  
 4. Material sampling adalah material pada semester berjalan atau 1 semester sebelumnya</t>
        </is>
      </c>
      <c r="T5" s="108" t="n"/>
      <c r="U5" s="109" t="n"/>
      <c r="V5" s="10" t="inlineStr">
        <is>
          <t xml:space="preserve">Gudang Persediaan (Gudang Tertutup, Kinerja 2025) </t>
        </is>
      </c>
      <c r="W5" s="56" t="n"/>
      <c r="X5" s="8" t="n">
        <v>0</v>
      </c>
      <c r="Y5" s="8" t="n"/>
    </row>
    <row r="6" ht="201" customHeight="1" s="57">
      <c r="A6" s="56" t="n"/>
      <c r="B6" s="75" t="n"/>
      <c r="C6" s="75" t="n"/>
      <c r="D6" s="13" t="n">
        <v>1.3</v>
      </c>
      <c r="E6" s="109" t="n"/>
      <c r="F6" s="122" t="inlineStr">
        <is>
          <t>Waktu Pemberitahuan Pengiriman Material dari Vendor (Pabrikan)</t>
        </is>
      </c>
      <c r="G6" s="109" t="n"/>
      <c r="H6" s="9" t="inlineStr">
        <is>
          <t>Tidak ada pemberitahuan rencana pengiriman
material untuk seluruh sampling</t>
        </is>
      </c>
      <c r="I6" s="122" t="inlineStr">
        <is>
          <t>Pemberitahuan disampaikan H-1 dari tanggal pengiriman untuk salah satu/seluruh sampling</t>
        </is>
      </c>
      <c r="J6" s="109" t="n"/>
      <c r="K6" s="122" t="inlineStr">
        <is>
          <t>Pemberitahuan disampaikan kurang dari 3 hari dari tanggal pengiriman, untuk salah satu/seluruh sampling 
ATAU 
Pemberitahuan disampaikan kurang dari 7 hari dari tanggal pengiriman, untuk salah satu sampling</t>
        </is>
      </c>
      <c r="L6" s="109" t="n"/>
      <c r="M6" s="122" t="inlineStr">
        <is>
          <t>Pemberitahuan disampaikan kurang dari 7 hari dari tanggal pengiriman, untuk seluruh sampling</t>
        </is>
      </c>
      <c r="N6" s="109" t="n"/>
      <c r="O6" s="122" t="inlineStr">
        <is>
          <t>Pemberitahuan disampaikan sama dengan atau lebih dari 7 Hari tanggal pengiriman, untuk seluruh sampling</t>
        </is>
      </c>
      <c r="P6" s="109" t="n"/>
      <c r="Q6" s="122" t="inlineStr">
        <is>
          <t xml:space="preserve">Eviden:
1. Surat pemberitahuan dari vendor ke gudang PLN terkait terkait rencana pengiriman
2. Tanda Terima Material / Berita Acara
</t>
        </is>
      </c>
      <c r="R6" s="109" t="n"/>
      <c r="S6" s="122" t="inlineStr">
        <is>
          <t xml:space="preserve">Note: 
1. sampling material berjumlah 2 dari sampling nomor 1.2
2. Nilai Level adalah Selisih hari dari Eviden poin 2 dan poin 1
</t>
        </is>
      </c>
      <c r="T6" s="108" t="n"/>
      <c r="U6" s="109" t="n"/>
      <c r="V6" s="10" t="inlineStr">
        <is>
          <t xml:space="preserve">Gudang Persediaan (Gudang Tertutup, Kinerja 2025) </t>
        </is>
      </c>
      <c r="W6" s="56" t="n"/>
      <c r="X6" s="8" t="n">
        <v>0</v>
      </c>
      <c r="Y6" s="8" t="n"/>
    </row>
    <row r="7" ht="201" customHeight="1" s="57">
      <c r="A7" s="56" t="n"/>
      <c r="B7" s="75" t="n"/>
      <c r="C7" s="75" t="n"/>
      <c r="D7" s="13" t="n">
        <v>1.4</v>
      </c>
      <c r="E7" s="109" t="n"/>
      <c r="F7" s="122" t="inlineStr">
        <is>
          <t>Waktu Pelaksanaan Pemeriksaaan Material Datang (TUG 4)</t>
        </is>
      </c>
      <c r="G7" s="109" t="n"/>
      <c r="H7" s="9" t="inlineStr">
        <is>
          <t>Pemeriksaan dilaksanakan dalam rentang lebih dari 30 hari setelah kedatangan material, untuk seluruh sampling</t>
        </is>
      </c>
      <c r="I7" s="122" t="inlineStr">
        <is>
          <t>Pemeriksaan dilaksanakan dalam rentang 21-29 hari setelah kedatangan material, untuk salah satu/seluruh sampling</t>
        </is>
      </c>
      <c r="J7" s="109" t="n"/>
      <c r="K7" s="122" t="inlineStr">
        <is>
          <t>Pemeriksaan dilaksanakan dalam rentang 14-20 hari setelah kedatangan material, untuk salah satu/seluruh sampling
ATAU 
Pemeriksaan dilaksanakan dalam rentang 8-13 hari setelah kedatangan material, untuk salah satu sampling</t>
        </is>
      </c>
      <c r="L7" s="109" t="n"/>
      <c r="M7" s="122" t="inlineStr">
        <is>
          <t>Pemeriksaan dilaksanakan dalam rentang 8-13 hari setelah kedatangan material, untuk seluruh sampling</t>
        </is>
      </c>
      <c r="N7" s="109" t="n"/>
      <c r="O7" s="122" t="inlineStr">
        <is>
          <t>Pemeriksaan dilaksanakan kurang dari atau sama dengan 7 hari kerja setelah kedatangan material, untuk seluruh sampling</t>
        </is>
      </c>
      <c r="P7" s="109" t="n"/>
      <c r="Q7" s="122" t="inlineStr">
        <is>
          <t>Eviden:
1. Tanda Terima Material
2. TUG 4</t>
        </is>
      </c>
      <c r="R7" s="109" t="n"/>
      <c r="S7" s="123" t="inlineStr">
        <is>
          <t>Note: 
1. sampling material berjumlah 2 dari sampling nomor 1.2
2. Nilai Level adalah Selisih hari dari Eviden poin 2 dan poin 1</t>
        </is>
      </c>
      <c r="T7" s="108" t="n"/>
      <c r="U7" s="109" t="n"/>
      <c r="V7" s="10" t="inlineStr">
        <is>
          <t xml:space="preserve">Gudang Persediaan (Gudang Tertutup, Kinerja 2025) </t>
        </is>
      </c>
      <c r="W7" s="56" t="n"/>
      <c r="X7" s="8" t="n">
        <v>0</v>
      </c>
      <c r="Y7" s="8" t="n"/>
    </row>
    <row r="8" ht="201" customHeight="1" s="57">
      <c r="A8" s="56" t="n"/>
      <c r="B8" s="75" t="n"/>
      <c r="C8" s="75" t="n"/>
      <c r="D8" s="13" t="n">
        <v>1.5</v>
      </c>
      <c r="E8" s="109" t="n"/>
      <c r="F8" s="122" t="inlineStr">
        <is>
          <t>Waktu Proses Penerimaan hingga ke penyimpanan (dari tanggal penerbitan TUG 3 sampai dengan tanggal kartu gantung (TUG 2))</t>
        </is>
      </c>
      <c r="G8" s="109" t="n"/>
      <c r="H8" s="11" t="inlineStr">
        <is>
          <t>Tidak tercatat untuk seluruh sampling</t>
        </is>
      </c>
      <c r="I8" s="124" t="n"/>
      <c r="J8" s="109" t="n"/>
      <c r="K8" s="125" t="inlineStr">
        <is>
          <t>Tercatat pada tanggal yang berbeda antara TUG 3 dan TUG 2 untuk salah satu/seluruh sampling</t>
        </is>
      </c>
      <c r="L8" s="109" t="n"/>
      <c r="M8" s="124" t="n"/>
      <c r="N8" s="109" t="n"/>
      <c r="O8" s="125" t="inlineStr">
        <is>
          <t>Tercatat pada tanggal yang sama antara TUG 3 dan TUG 2 untuk seluruh sampling</t>
        </is>
      </c>
      <c r="P8" s="109" t="n"/>
      <c r="Q8" s="122" t="inlineStr">
        <is>
          <t>Eviden:
1. TUG 3
2. TUG 2</t>
        </is>
      </c>
      <c r="R8" s="109" t="n"/>
      <c r="S8" s="123" t="inlineStr">
        <is>
          <t>Note: 
1. sampling material berjumlah 2 dari sampling nomor 1.2
2. Nilai Level adalah Selisih hari dari Eviden poin 2 dan poin 1</t>
        </is>
      </c>
      <c r="T8" s="108" t="n"/>
      <c r="U8" s="109" t="n"/>
      <c r="V8" s="10" t="inlineStr">
        <is>
          <t xml:space="preserve">Gudang Persediaan (Gudang Tertutup, Kinerja 2025) </t>
        </is>
      </c>
      <c r="W8" s="56" t="n"/>
      <c r="X8" s="8" t="n">
        <v>0</v>
      </c>
      <c r="Y8" s="8" t="n"/>
    </row>
    <row r="9" ht="201" customHeight="1" s="57">
      <c r="A9" s="56" t="n"/>
      <c r="B9" s="121" t="n">
        <v>0</v>
      </c>
      <c r="D9" s="13" t="n">
        <v>1.6</v>
      </c>
      <c r="E9" s="109" t="n"/>
      <c r="F9" s="122" t="inlineStr">
        <is>
          <t>Implementasi Proses Bisnis Pengeluaran Material</t>
        </is>
      </c>
      <c r="G9" s="109" t="n"/>
      <c r="H9" s="9" t="inlineStr">
        <is>
          <t>Eviden tidak lengkap (kurang dari 6 eviden) pada 2 sampling material</t>
        </is>
      </c>
      <c r="I9" s="9" t="inlineStr">
        <is>
          <t>Eviden tidak lengkap (kurang dari 6 eviden) pada salah satu sampling material</t>
        </is>
      </c>
      <c r="J9" s="109" t="n"/>
      <c r="K9" s="122" t="inlineStr">
        <is>
          <t xml:space="preserve">Eviden lengkap (6 item) namun terdapat ketidakrunutan tanggal dari eviden (ada backdate) pada seluruh sampling material   </t>
        </is>
      </c>
      <c r="L9" s="109" t="n"/>
      <c r="M9" s="122" t="inlineStr">
        <is>
          <t xml:space="preserve">Eviden lengkap (6 item) namun terdapat ketidakrunutan tanggal dari eviden (ada backdate) pada salah satu sampling material   </t>
        </is>
      </c>
      <c r="N9" s="109" t="n"/>
      <c r="O9" s="122" t="inlineStr">
        <is>
          <t>Eviden lengkap (6 item) untuk 2 sampling material termasuk kerunutan tanggal dari setiap nomor eviden (tidak ada backdate)</t>
        </is>
      </c>
      <c r="P9" s="109" t="n"/>
      <c r="Q9" s="122" t="inlineStr">
        <is>
          <t>&gt; Evidence 1 cycle (Sampling 2 Material):
  1. Surat/Form Permintaan/Permohonan Material kepada Manajemen yang membawahi fungsi Logistik
  2. Kontrak Kerjasama dengan pihak eksternal apabila pihak eksternal yang melakukan permohonan/permintaan
  3. Form Pemesanan (Reservation Slip) / Work Order (SAP) TTD 
  4. Slip Pengeluaran Barang - 2 / Spare Parts (Pemakaian Reservasi) (SAP) TTD (TUG 9)
  5. Kartu Gantung TUG 2
  6. Foto Proses Pengeluaran Material</t>
        </is>
      </c>
      <c r="R9" s="109" t="n"/>
      <c r="S9" s="122" t="inlineStr">
        <is>
          <t xml:space="preserve"> Note:
 1. Evidence harus terpenuhi lengkap untuk level yang ingin dicapai
 2. Menunjukan evidence yang telah dilakukan (batas waktu di dokumen eviden, hingga tanggal pelaksanaan self assessment)
 3. Apabila yang disampling adalah material non stock yang tidak terdapat TUG secara SAP dapat menunjukkan TUG Manual (TUG 3, 4), Bon Pemakaian (TUG 9), PO (SAP) dan Good Receipt (SAP)  
 4. Material sampling adalah material pada semester berjalan atau 1 semester sebelumnya</t>
        </is>
      </c>
      <c r="T9" s="108" t="n"/>
      <c r="U9" s="109" t="n"/>
      <c r="V9" s="10" t="inlineStr">
        <is>
          <t xml:space="preserve">Gudang Persediaan (Gudang Tertutup, Kinerja 2025) </t>
        </is>
      </c>
      <c r="W9" s="56" t="n"/>
      <c r="X9" s="8" t="n">
        <v>0</v>
      </c>
      <c r="Y9" s="8" t="n"/>
    </row>
    <row r="10" ht="201" customHeight="1" s="57">
      <c r="A10" s="56" t="n"/>
      <c r="B10" s="75" t="n"/>
      <c r="C10" s="75" t="n"/>
      <c r="D10" s="13" t="n">
        <v>1.7</v>
      </c>
      <c r="E10" s="109" t="n"/>
      <c r="F10" s="122" t="inlineStr">
        <is>
          <t>Durasi Waktu Pemberitahuan Pengambilan Material di Gudang dari User</t>
        </is>
      </c>
      <c r="G10" s="109" t="n"/>
      <c r="H10" s="9" t="inlineStr">
        <is>
          <t>Tidak ada pemberitahuan rencana pengambilan material untuk seluruh sampling</t>
        </is>
      </c>
      <c r="I10" s="122" t="n"/>
      <c r="J10" s="109" t="n"/>
      <c r="K10" s="122" t="inlineStr">
        <is>
          <t>Pemberitahuan disampaikan kurang dari 5 hari atau lebih dari 14 hari pengambilan material, untuk salah satu/seluruh sampling
ATAU 
Pemberitahuan disampaikan dalam rentang 5-14 hari sebelum pengambilan material, untuk salah satu sampling</t>
        </is>
      </c>
      <c r="L10" s="109" t="n"/>
      <c r="M10" s="124" t="n"/>
      <c r="N10" s="109" t="n"/>
      <c r="O10" s="122" t="inlineStr">
        <is>
          <t>Pemberitahuan disampaikan dalam rentang 5-14 hari sebelum pengambilan material, untuk ke seluruh sampling</t>
        </is>
      </c>
      <c r="P10" s="109" t="n"/>
      <c r="Q10" s="122" t="inlineStr">
        <is>
          <t>Eviden:
1. Surat atau Nota Dinas di AMS atau TUG dari User ke Gudang terkait permohonan/permintaan material
2. Tanda Terima Pengeluaran Material / Berita Acara</t>
        </is>
      </c>
      <c r="R10" s="109" t="n"/>
      <c r="S10" s="122" t="inlineStr">
        <is>
          <t>Note: 
1. sampling material berjumlah 2 dari sampling nomor 1.6
2. Nilai Level adalah Selisih hari dari Eviden poin 2 dan poin 1
3. sampling material bukan peruntukan emergency</t>
        </is>
      </c>
      <c r="T10" s="108" t="n"/>
      <c r="U10" s="109" t="n"/>
      <c r="V10" s="10" t="inlineStr">
        <is>
          <t xml:space="preserve">Gudang Persediaan (Gudang Tertutup, Kinerja 2025) </t>
        </is>
      </c>
      <c r="W10" s="56" t="n"/>
      <c r="X10" s="8" t="n">
        <v>0</v>
      </c>
      <c r="Y10" s="8" t="n"/>
    </row>
    <row r="11" ht="199.5" customHeight="1" s="57">
      <c r="A11" s="56" t="n"/>
      <c r="B11" s="126" t="n">
        <v>0</v>
      </c>
      <c r="D11" s="13" t="n">
        <v>1.8</v>
      </c>
      <c r="E11" s="109" t="n"/>
      <c r="F11" s="122" t="inlineStr">
        <is>
          <t>Implementasi Metode Penyimpanan Material (RAK)</t>
        </is>
      </c>
      <c r="G11" s="109" t="n"/>
      <c r="H11" s="11" t="inlineStr">
        <is>
          <t xml:space="preserve">Level 1 : Keseluruhan Metode belum dijalankan dan belum keseluruhan rak
 </t>
        </is>
      </c>
      <c r="I11" s="11" t="inlineStr">
        <is>
          <t xml:space="preserve">Level 2 : Salah satu dari 4 metode telah dijalankan namun belum keseluruhan rak
 </t>
        </is>
      </c>
      <c r="J11" s="109" t="n"/>
      <c r="K11" s="122" t="inlineStr">
        <is>
          <t xml:space="preserve">Level 3 : Salah satu dari 4 metode telah dijalankan dan sudah keseluruhan rak
 </t>
        </is>
      </c>
      <c r="L11" s="109" t="n"/>
      <c r="M11" s="11" t="inlineStr">
        <is>
          <t xml:space="preserve">Level 4 : Keseluruhan Metode telah dijalankan namun belum keseluruhan rak
 </t>
        </is>
      </c>
      <c r="N11" s="109" t="n"/>
      <c r="O11" s="122" t="inlineStr">
        <is>
          <t>Level 5 : Keseluruhan Metode telah dijalankan dan sudah keseluruhan rak</t>
        </is>
      </c>
      <c r="P11" s="109" t="n"/>
      <c r="Q11" s="122" t="inlineStr">
        <is>
          <t>&gt; Evidence yang memenuhi ketentuan Perdir 687 STK Tata Kelola Gudang, Sebagai berikut:
 1. Penyusunan Rak (foto):
  a. Semua rak ditempatkan melintang di dalam ruangan gudang, berderet-deret kebelakang
  b. Apabila ruangan gudang cukup memuat lebih dari 1 deret maka antara deretan satu dengan yang lain, harus terdapat lorong yang cukup lebar untuk lalu lintas barang
 2. Penamaan (list material dalam 1 rak)/Penomoran Rak sesuai jenis material (foto)
 3. Kartu Gantung menempel/menggantung pada material (foto)
 4. Penempatan Material sesuai penamaan/penomoran Raknya (foto)</t>
        </is>
      </c>
      <c r="R11" s="109" t="n"/>
      <c r="S11" s="122" t="n"/>
      <c r="T11" s="108" t="n"/>
      <c r="U11" s="109" t="n"/>
      <c r="V11" s="10" t="inlineStr">
        <is>
          <t xml:space="preserve">Gudang Persediaan (Gudang Tertutup, Kinerja 2025) </t>
        </is>
      </c>
      <c r="W11" s="56" t="n"/>
      <c r="X11" s="8" t="n">
        <v>0</v>
      </c>
      <c r="Y11" s="8" t="n"/>
    </row>
    <row r="12" ht="174.75" customHeight="1" s="57">
      <c r="A12" s="56" t="n"/>
      <c r="B12" s="73" t="n"/>
      <c r="C12" s="73" t="n"/>
      <c r="D12" s="13" t="n">
        <v>1.9</v>
      </c>
      <c r="E12" s="109" t="n"/>
      <c r="F12" s="123" t="inlineStr">
        <is>
          <t xml:space="preserve">Ketersediaan Referensi Dokumen dan Kesesuaian Penyimpanan material
</t>
        </is>
      </c>
      <c r="G12" s="109" t="n"/>
      <c r="H12" s="13" t="inlineStr">
        <is>
          <t xml:space="preserve">Tidak tersedia Referensi Dokumen </t>
        </is>
      </c>
      <c r="I12" s="13" t="inlineStr">
        <is>
          <t>Tersedia Referensi Dokumen dan keseluruhan penyimpanan material tidak sesuai referensi dokumen</t>
        </is>
      </c>
      <c r="J12" s="109" t="n"/>
      <c r="K12" s="13" t="inlineStr">
        <is>
          <t>Tersedia Referensi Dokumen,  dan 1 dari 3 sampling material sudah sesuai penyimpanan material terhadap referensi dokumen</t>
        </is>
      </c>
      <c r="L12" s="109" t="n"/>
      <c r="M12" s="13" t="inlineStr">
        <is>
          <t>Tersedia Referensi Dokumen,  dan 2 dari 3 sampling material sudah sesuai penyimpanan material terhadap referensi dokumen</t>
        </is>
      </c>
      <c r="N12" s="109" t="n"/>
      <c r="O12" s="13" t="inlineStr">
        <is>
          <t>Tersedia Referensi Dokumen,  dan 3 sampling material sudah sesuai penyimpanan material terhadap referensi dokumen</t>
        </is>
      </c>
      <c r="P12" s="109" t="n"/>
      <c r="Q12" s="123" t="inlineStr">
        <is>
          <t xml:space="preserve">Eviden Kesesuaian Penyimpanan Material dengan Referensi Dokumen
1. Referensi Dokumen (Softcopy/Hardcoyp) : Manual Book metode penyimpanan / Buku Kajian Umur Maksimum Material Cadang / Proses Bisnis Penyimpanan Material
2. Foto Penyimpanan Material
</t>
        </is>
      </c>
      <c r="R12" s="109" t="n"/>
      <c r="S12" s="123" t="inlineStr">
        <is>
          <t>Note: 
1. sampling material berjumlah 3
LIst Prioritas Penyimpanan Material:
1. MTU (Material Cadang)
2. Isolator Polymer
3. Kabel/Konduktor</t>
        </is>
      </c>
      <c r="T12" s="108" t="n"/>
      <c r="U12" s="109" t="n"/>
      <c r="V12" s="10" t="inlineStr">
        <is>
          <t xml:space="preserve">Gudang Persediaan (Gudang Tertutup, Kinerja 2025) </t>
        </is>
      </c>
      <c r="W12" s="56" t="n"/>
      <c r="X12" s="8" t="n">
        <v>0</v>
      </c>
      <c r="Y12" s="8" t="n"/>
    </row>
    <row r="13" ht="174.75" customHeight="1" s="57">
      <c r="A13" s="56" t="n"/>
      <c r="B13" s="73" t="n"/>
      <c r="C13" s="73" t="n"/>
      <c r="D13" s="127" t="inlineStr">
        <is>
          <t>1.10</t>
        </is>
      </c>
      <c r="E13" s="109" t="n"/>
      <c r="F13" s="123" t="inlineStr">
        <is>
          <t>Pneyimpanan Material dikelompokan berdasarkan Varian/Jenis nya</t>
        </is>
      </c>
      <c r="G13" s="109" t="n"/>
      <c r="H13" s="14" t="inlineStr">
        <is>
          <t>Penyimpanan material belum dikelompokkan berdasarkan varian/jenisnya</t>
        </is>
      </c>
      <c r="I13" s="123" t="n"/>
      <c r="J13" s="109" t="n"/>
      <c r="K13" s="14" t="inlineStr">
        <is>
          <t>Penyimpanan material untuk kurang dari  3 sampling material telah dikelompokkan berdasarkan varian/jenisnya</t>
        </is>
      </c>
      <c r="L13" s="109" t="n"/>
      <c r="M13" s="123" t="n"/>
      <c r="N13" s="109" t="n"/>
      <c r="O13" s="14" t="inlineStr">
        <is>
          <t>Penyimpanan material untuk  3 sampling material telah dikelompokkan berdasarkan varian/jenisnya</t>
        </is>
      </c>
      <c r="P13" s="109" t="n"/>
      <c r="Q13" s="123" t="inlineStr">
        <is>
          <t xml:space="preserve">Eviden:
1. Foto Penyimpanan Material sesuai varian/jenisnya
</t>
        </is>
      </c>
      <c r="R13" s="109" t="n"/>
      <c r="S13" s="123" t="inlineStr">
        <is>
          <t>Note: 
1. sampling material berjumlah 3 dari sampling nomor 1.9.
LIst Prioritas Penyimpanan Material:
1. MTU (Material Cadang)
2. Isolator Polymer
3. Kabel/Konduktor</t>
        </is>
      </c>
      <c r="T13" s="108" t="n"/>
      <c r="U13" s="109" t="n"/>
      <c r="V13" s="10" t="inlineStr">
        <is>
          <t xml:space="preserve">Gudang Persediaan (Gudang Tertutup, Kinerja 2025) </t>
        </is>
      </c>
      <c r="W13" s="56" t="n"/>
      <c r="X13" s="8" t="n">
        <v>0</v>
      </c>
      <c r="Y13" s="8" t="n"/>
    </row>
    <row r="14">
      <c r="A14" s="56" t="n"/>
      <c r="B14" s="126" t="n"/>
      <c r="D14" s="128" t="inlineStr">
        <is>
          <t>2. Manajemen Tenaga Kerja</t>
        </is>
      </c>
      <c r="E14" s="108" t="n"/>
      <c r="F14" s="108" t="n"/>
      <c r="G14" s="108" t="n"/>
      <c r="H14" s="108" t="n"/>
      <c r="I14" s="108" t="n"/>
      <c r="J14" s="108" t="n"/>
      <c r="K14" s="108" t="n"/>
      <c r="L14" s="108" t="n"/>
      <c r="M14" s="108" t="n"/>
      <c r="N14" s="108" t="n"/>
      <c r="O14" s="108" t="n"/>
      <c r="P14" s="108" t="n"/>
      <c r="Q14" s="108" t="n"/>
      <c r="R14" s="108" t="n"/>
      <c r="S14" s="108" t="n"/>
      <c r="T14" s="108" t="n"/>
      <c r="U14" s="109" t="n"/>
      <c r="V14" s="15" t="n"/>
      <c r="W14" s="56" t="n"/>
      <c r="X14" s="4">
        <f>AVERAGE(X15:X19)</f>
        <v/>
      </c>
      <c r="Y14" s="4" t="n"/>
    </row>
    <row r="15" ht="164.25" customHeight="1" s="57">
      <c r="A15" s="56" t="n"/>
      <c r="B15" s="121" t="n">
        <v>0</v>
      </c>
      <c r="D15" s="13" t="n">
        <v>2.1</v>
      </c>
      <c r="E15" s="109" t="n"/>
      <c r="F15" s="122" t="inlineStr">
        <is>
          <t>Kolaborasi Antar Fungsi Logistik dan Akuntansi: Dalam Stock Opname</t>
        </is>
      </c>
      <c r="G15" s="109" t="n"/>
      <c r="H15" s="9" t="inlineStr">
        <is>
          <t>Level 1 : Tidak melaksanakan stock opname</t>
        </is>
      </c>
      <c r="I15" s="122" t="inlineStr">
        <is>
          <t>Level 2 : Stock Opname dilakukan mandiri oleh bidang logistik (tidak berkolaborasi)</t>
        </is>
      </c>
      <c r="J15" s="109" t="n"/>
      <c r="K15" s="122" t="inlineStr">
        <is>
          <t>Level 3 : Kolaborasi dilaksanakan namun eviden tidak lengkap (kurang dari 4 eviden)</t>
        </is>
      </c>
      <c r="L15" s="109" t="n"/>
      <c r="M15" s="122" t="inlineStr">
        <is>
          <t xml:space="preserve"> Level 4 : Kolaborasi dilaksanakan dan terdapat eviden lengkap (4 eviden), serta dilakukan per tahun</t>
        </is>
      </c>
      <c r="N15" s="109" t="n"/>
      <c r="O15" s="122" t="inlineStr">
        <is>
          <t>Level 5 : Kolaborasi dilaksanakan dan terdapat eviden lengkap (4 eviden), serta dilakukan secara rutin (per semester)</t>
        </is>
      </c>
      <c r="P15" s="109" t="n"/>
      <c r="Q15" s="122" t="inlineStr">
        <is>
          <t>&gt; Evidence:
 1. Undangan / Notulen rapat terkait jadwal pelaksanaan stock opname
 2. BA stock opname (inventarisasi material) / PID
 3. Foto zoom atau foto kegiatan stock opname
 4. a. Jurnal terkait Selisih (dituliskan Nihil apabila tidak ada selisih) dan 
     b. Rekap List of Inventory Differences (dituliskan Nihil apabila tidak ada selisih)</t>
        </is>
      </c>
      <c r="R15" s="109" t="n"/>
      <c r="S15" s="122" t="inlineStr">
        <is>
          <t xml:space="preserve"> Note:
 1. Menunjukan BA Stock Opname terakhir (batas waktu hingga tanggal pelaksanaan self assessment), dan dapat melihat BA Stock Opname 1 semester sebelumnya untuk melihat rutinitas periode waktu semesternya
 2. Apabila tedapat gudang yang tidak memiliki material Stock maka kegiatan Opname tidak dilakukan (BA Stock Opname tidak perlu dibuat),Namun harus menyampaikan lampiran 5D bulanan dalam periode waktu semester
 3. Data Stock Opname adalah data pada semester berjalan atau 1 semester sebelumnya</t>
        </is>
      </c>
      <c r="T15" s="108" t="n"/>
      <c r="U15" s="109" t="n"/>
      <c r="V15" s="10" t="inlineStr">
        <is>
          <t xml:space="preserve">Gudang Persediaan (Gudang Tertutup, Kinerja 2025) </t>
        </is>
      </c>
      <c r="W15" s="56" t="n"/>
      <c r="X15" s="8" t="n">
        <v>0</v>
      </c>
      <c r="Y15" s="8" t="n"/>
    </row>
    <row r="16" ht="168.75" customHeight="1" s="57">
      <c r="A16" s="56" t="n"/>
      <c r="B16" s="121" t="n">
        <v>0</v>
      </c>
      <c r="D16" s="13" t="n">
        <v>2.2</v>
      </c>
      <c r="E16" s="109" t="n"/>
      <c r="F16" s="122" t="inlineStr">
        <is>
          <t>Kolaborasi Antar Fungsi Logistik dan Pemeliharaan : Dalam Pemeriksaan Material di Gudang (Visual Inspeksi)</t>
        </is>
      </c>
      <c r="G16" s="109" t="n"/>
      <c r="H16" s="9" t="inlineStr">
        <is>
          <t xml:space="preserve">Level 1 : Tidak melaksanakan pemeriksaan (tidak terdapat eviden) 
</t>
        </is>
      </c>
      <c r="I16" s="122" t="inlineStr">
        <is>
          <t xml:space="preserve">Level 2 : Pemeriksaan MTU di Gudang dilakukan mandiri oleh bidang Logistik (atau eviden tidak lengkap/kurang dari 3)
 </t>
        </is>
      </c>
      <c r="J16" s="109" t="n"/>
      <c r="K16" s="122" t="inlineStr">
        <is>
          <t xml:space="preserve">Level 3 : Kolaborasi Pemeriksaan antar Bidang LOG dan Bidang HAR MTU di Gudang terdapat eviden lengkap, namun belum secara rutin (lebih dari 6 bulan sekali)
</t>
        </is>
      </c>
      <c r="L16" s="109" t="n"/>
      <c r="M16" s="122" t="inlineStr">
        <is>
          <t xml:space="preserve">Level 4 : Kolaborasi Pemeriksaan antar Bidang LOG dan Bidang HAR MTU di Gudang terdapat eviden lengkap dan secara rutin (per semester) 
 </t>
        </is>
      </c>
      <c r="N16" s="109" t="n"/>
      <c r="O16" s="122" t="inlineStr">
        <is>
          <t>Level 5 : Improvisasi terhadap kolaborasi (proses manual menjadi digitalisasi, penggunaan aplikasi). 
Dimana data Material MTU di Gudang terdata di aplikasi/platform digital (berupa data hasil inspeksi level 1)</t>
        </is>
      </c>
      <c r="P16" s="109" t="n"/>
      <c r="Q16" s="122" t="inlineStr">
        <is>
          <t>&gt; Evidence:
 1. Undangan Pelaksanaan Pemeriksaan
 2. Berita Acara Visual Inspeksi MTU yang di tanda tangani HAR dan LOG, selanjutnya di tandatangani Mengetahui Man UPT (terlampir form BA)
 3. Foto Pelaksanaan Pemeriksaan</t>
        </is>
      </c>
      <c r="R16" s="109" t="n"/>
      <c r="S16" s="122" t="inlineStr">
        <is>
          <t xml:space="preserve"> Note:
 1. Menunjukan BA Visual Inspeksi terakhir (batas waktu hingga tanggal pelaksanaan self assessment), dan dapat melihat BA Visual Inspeksi periode sebelumnya untuk melihat rutinitas periode waktu semester
 2. Material MTU adalah : PMT, CT, CVT/PT, DS, LA 
 3. Apabila tidak ada material cadang MTU (poin 2) maka menggunakan material lain utk kolaborasi pemeriksaan Log dan HAR (TUG 15)
 4. Periode MTU yang diinspeksi adalah dalam minimal penyimpanan di gudang 6 bulan</t>
        </is>
      </c>
      <c r="T16" s="108" t="n"/>
      <c r="U16" s="109" t="n"/>
      <c r="V16" s="10" t="inlineStr">
        <is>
          <t xml:space="preserve">Gudang Persediaan (Gudang Tertutup, Kinerja 2025) </t>
        </is>
      </c>
      <c r="W16" s="56" t="n"/>
      <c r="X16" s="8" t="n">
        <v>0</v>
      </c>
      <c r="Y16" s="8" t="n"/>
    </row>
    <row r="17" ht="154.5" customHeight="1" s="57">
      <c r="A17" s="56" t="n"/>
      <c r="B17" s="121" t="n">
        <v>0</v>
      </c>
      <c r="D17" s="13" t="n">
        <v>2.3</v>
      </c>
      <c r="E17" s="109" t="n"/>
      <c r="F17" s="122" t="inlineStr">
        <is>
          <t>Ketersediaan Pengelola Gudang</t>
        </is>
      </c>
      <c r="G17" s="109" t="n"/>
      <c r="H17" s="9" t="inlineStr">
        <is>
          <t xml:space="preserve">Level 1 : Tidak ada Pengelola Gudang
</t>
        </is>
      </c>
      <c r="I17" s="122" t="inlineStr">
        <is>
          <t xml:space="preserve">Level 2 : Tersedia 1 dari 4 Pengelola Gudang atau tidak ada Struktur Organisasi
</t>
        </is>
      </c>
      <c r="J17" s="109" t="n"/>
      <c r="K17" s="122" t="inlineStr">
        <is>
          <t xml:space="preserve">Level 3 : Tersedia 2 dari 4 Pengelola Gudang dan Struktur Organisasi Terupdate
</t>
        </is>
      </c>
      <c r="L17" s="109" t="n"/>
      <c r="M17" s="122" t="inlineStr">
        <is>
          <t xml:space="preserve">Level 4 : Tersedia 3 dari 4 Pengelola Gudang dan Struktur Organisasi Terupdate
 </t>
        </is>
      </c>
      <c r="N17" s="109" t="n"/>
      <c r="O17" s="122" t="inlineStr">
        <is>
          <t>Level 5 : Tersedia lengkap 4 Pengelola Gudang, Struktur Organisasi Terupdate dan Terpasang di Dinding Ruang Admin</t>
        </is>
      </c>
      <c r="P17" s="109" t="n"/>
      <c r="Q17" s="122" t="inlineStr">
        <is>
          <t>&gt; Evidence:
 1. Struktur Organisasi / Daftar Pengelola Gudang (termasuk foto dari pengelola gudang tersebut) yang di tandatangani oleh Manajer UPT 
 2. Struktur Organisasi terupdate = apabila terdapat perubahan personil pengelola gudang, maka harus diupdate
 3. Pengelola Gudang yang menjadi mandatory sebagai berikut:
  a. Petugas Admin
  b. Helper Gudang
  c. Cleaning Service
  d. Security</t>
        </is>
      </c>
      <c r="R17" s="109" t="n"/>
      <c r="S17" s="122" t="inlineStr">
        <is>
          <t xml:space="preserve"> Note:
 1. 1 (satu) pengelola gudang dapat menjalankan maksimum 2 (dua) pekerjaan (contoh: petugas Admin dapat menjadi Helper Gudang), Kecuali Security
 2. Keseluruhan pengelola dapat menjalankan pekerjaan dalam 1 area/kawasan kantor (tidak dedicated terhadap 1 gudang saja)</t>
        </is>
      </c>
      <c r="T17" s="108" t="n"/>
      <c r="U17" s="109" t="n"/>
      <c r="V17" s="10" t="inlineStr">
        <is>
          <t xml:space="preserve">Gudang Persediaan (Gudang Tertutup, Kinerja 2025) </t>
        </is>
      </c>
      <c r="W17" s="56" t="n"/>
      <c r="X17" s="8" t="n">
        <v>0</v>
      </c>
      <c r="Y17" s="8" t="n"/>
    </row>
    <row r="18" ht="92.25" customHeight="1" s="57">
      <c r="A18" s="56" t="n"/>
      <c r="B18" s="121" t="n">
        <v>0</v>
      </c>
      <c r="D18" s="13" t="n">
        <v>2.4</v>
      </c>
      <c r="E18" s="109" t="n"/>
      <c r="F18" s="122" t="inlineStr">
        <is>
          <t>Peningkatan Kompetensi Pegawai Fungsi Logistik Unit Induk / UPT</t>
        </is>
      </c>
      <c r="G18" s="109" t="n"/>
      <c r="H18" s="9" t="inlineStr">
        <is>
          <t xml:space="preserve">Level 1 : Belum pernah mengikuti diklat untuk pegawai fungsi logistik
 </t>
        </is>
      </c>
      <c r="I18" s="122" t="inlineStr">
        <is>
          <t xml:space="preserve">Level 2 : 25% pegawai fungsi logistik mengikuti Diklat 
 </t>
        </is>
      </c>
      <c r="J18" s="109" t="n"/>
      <c r="K18" s="122" t="inlineStr">
        <is>
          <t xml:space="preserve">Level 3 : 50% pegawai fungsi logistik mengikuti Diklat
 </t>
        </is>
      </c>
      <c r="L18" s="109" t="n"/>
      <c r="M18" s="122" t="inlineStr">
        <is>
          <t xml:space="preserve">Level 4 : 75% pegawai fungsi logistik mengikuti Diklat
 </t>
        </is>
      </c>
      <c r="N18" s="109" t="n"/>
      <c r="O18" s="122" t="inlineStr">
        <is>
          <t>Level 5 : 100% (seluruh) pegawai fungsi logistik mengikuti Diklat</t>
        </is>
      </c>
      <c r="P18" s="109" t="n"/>
      <c r="Q18" s="122" t="inlineStr">
        <is>
          <t>&gt; Evidence terhadap Pegawai yang bertugas di Fungsi Logistik minimal 1 (satu) tahun berdasarkan SK/Surat Penugasan</t>
        </is>
      </c>
      <c r="R18" s="109" t="n"/>
      <c r="S18" s="122" t="inlineStr">
        <is>
          <t>Note:
 1. Sertifikat Diklat PLN berkaitan dengan fungsi Logistik atau
 2. Sertifikat Pelaksanaan Training/Workshop Logistik dari Eksternal (di Luar PLN) dengan periode waktu belum expired (Periode berlakunya Sertifikat hingga tanggal dilaksanakan self Assessment).</t>
        </is>
      </c>
      <c r="T18" s="108" t="n"/>
      <c r="U18" s="109" t="n"/>
      <c r="V18" s="10" t="inlineStr">
        <is>
          <t xml:space="preserve">Gudang Persediaan (Gudang Tertutup, Kinerja 2025) </t>
        </is>
      </c>
      <c r="W18" s="56" t="n"/>
      <c r="X18" s="8" t="n">
        <v>0</v>
      </c>
      <c r="Y18" s="8" t="n"/>
    </row>
    <row r="19" ht="108.75" customHeight="1" s="57">
      <c r="A19" s="56" t="n"/>
      <c r="B19" s="75" t="n"/>
      <c r="C19" s="75" t="n"/>
      <c r="D19" s="13" t="n">
        <v>2.5</v>
      </c>
      <c r="E19" s="109" t="n"/>
      <c r="F19" s="122" t="inlineStr">
        <is>
          <t>Partisipasi dari Unit dengan mengikuti Budaya Reward atau Ide Inovasi untuk Inovasi peningkatan pengelolaan logistik</t>
        </is>
      </c>
      <c r="G19" s="109" t="n"/>
      <c r="H19" s="9" t="inlineStr">
        <is>
          <t>Tidak ada budaya reward (Unit tidak ada partisipasi)</t>
        </is>
      </c>
      <c r="I19" s="124" t="n"/>
      <c r="J19" s="109" t="n"/>
      <c r="K19" s="122" t="inlineStr">
        <is>
          <t>Budaya Reward (Unit berpartisipasi dalam budaya reward) pernah dilakukan namun bukan pada tahun berjalan</t>
        </is>
      </c>
      <c r="L19" s="109" t="n"/>
      <c r="M19" s="124" t="n"/>
      <c r="N19" s="109" t="n"/>
      <c r="O19" s="122" t="inlineStr">
        <is>
          <t>Budaya Reward (Unit berpartisipasi dalam budaya reward) dilakukan pada tahun berjalan</t>
        </is>
      </c>
      <c r="P19" s="109" t="n"/>
      <c r="Q19" s="122" t="inlineStr">
        <is>
          <t>Eviden:
1. Informasi berupa ND/Surat penyampaian reward kinerja pengelolaan logistik atau 
2. a. Informasi berupa ND/Surat pelaksanaan kegiatan reward  
    b. Foto Pelaksanaan kegiatan</t>
        </is>
      </c>
      <c r="R19" s="109" t="n"/>
      <c r="S19" s="122" t="inlineStr">
        <is>
          <t>Note:
 1.Kegiatan dapat di inisiasi oleh Unit Induk dengan partisipasi oleh UPT seperti penghargaan atau penyampaian nilai matlev terbaik atau penghargaan guadng terbaik/terapih/terbersih/terinovatif
 2. Kegiatan ini dilakukan dalam periode tahun berjalan atau tahun sebelumnya.</t>
        </is>
      </c>
      <c r="T19" s="108" t="n"/>
      <c r="U19" s="109" t="n"/>
      <c r="V19" s="10" t="inlineStr">
        <is>
          <t xml:space="preserve">Gudang Persediaan (Gudang Tertutup, Kinerja 2025) </t>
        </is>
      </c>
      <c r="W19" s="56" t="n"/>
      <c r="X19" s="8" t="n">
        <v>0</v>
      </c>
      <c r="Y19" s="8" t="n"/>
    </row>
    <row r="20">
      <c r="A20" s="56" t="n"/>
      <c r="B20" s="126" t="n"/>
      <c r="D20" s="129" t="inlineStr">
        <is>
          <t>3. Ketersediaan Sarana dan Prasarana</t>
        </is>
      </c>
      <c r="E20" s="108" t="n"/>
      <c r="F20" s="108" t="n"/>
      <c r="G20" s="108" t="n"/>
      <c r="H20" s="108" t="n"/>
      <c r="I20" s="108" t="n"/>
      <c r="J20" s="108" t="n"/>
      <c r="K20" s="108" t="n"/>
      <c r="L20" s="108" t="n"/>
      <c r="M20" s="108" t="n"/>
      <c r="N20" s="108" t="n"/>
      <c r="O20" s="108" t="n"/>
      <c r="P20" s="108" t="n"/>
      <c r="Q20" s="108" t="n"/>
      <c r="R20" s="108" t="n"/>
      <c r="S20" s="108" t="n"/>
      <c r="T20" s="108" t="n"/>
      <c r="U20" s="109" t="n"/>
      <c r="V20" s="15" t="n"/>
      <c r="W20" s="56" t="n"/>
      <c r="X20" s="4">
        <f>AVERAGE(X21:X24)</f>
        <v/>
      </c>
      <c r="Y20" s="4">
        <f>AVERAGE(Y24:Y27)</f>
        <v/>
      </c>
    </row>
    <row r="21" ht="86.25" customHeight="1" s="57">
      <c r="A21" s="56" t="n"/>
      <c r="B21" s="121" t="n">
        <v>0</v>
      </c>
      <c r="D21" s="11" t="n">
        <v>3.1</v>
      </c>
      <c r="E21" s="109" t="n"/>
      <c r="F21" s="122" t="inlineStr">
        <is>
          <t>Ketersediaan Prasarana</t>
        </is>
      </c>
      <c r="G21" s="109" t="n"/>
      <c r="H21" s="9" t="inlineStr">
        <is>
          <t xml:space="preserve">Level 1 : Tidak ada keseluruhan area
</t>
        </is>
      </c>
      <c r="I21" s="122" t="inlineStr">
        <is>
          <t xml:space="preserve">Level 2 : Tersedia 1 area dari 6 Prasarana
</t>
        </is>
      </c>
      <c r="J21" s="109" t="n"/>
      <c r="K21" s="122" t="inlineStr">
        <is>
          <t xml:space="preserve">Level 3 : Tersedia 2 area dari 6 Prasarana
</t>
        </is>
      </c>
      <c r="L21" s="109" t="n"/>
      <c r="M21" s="122" t="inlineStr">
        <is>
          <t xml:space="preserve">Level 4 : Tersedia 3 area dari 6 Prasarana
</t>
        </is>
      </c>
      <c r="N21" s="109" t="n"/>
      <c r="O21" s="122" t="inlineStr">
        <is>
          <t xml:space="preserve">Level 5 : Tersedia lengkap Prasarana (4 Area, ruang Admin dan toilet) </t>
        </is>
      </c>
      <c r="P21" s="109" t="n"/>
      <c r="Q21" s="122" t="inlineStr">
        <is>
          <t>&gt; Evidence merupakan foto dari setiap area:
 1. Area Loading Dock/Bongkar Muat/Drop Zone
 2. Area Penerimaan (area karantina merupakan bagian dari area ini)
 3. Area Pengeluaran
 4. Area Penyimpanan
 5. Ruang Administrasi*
 6. Toilet*</t>
        </is>
      </c>
      <c r="R21" s="109" t="n"/>
      <c r="S21" s="122" t="inlineStr">
        <is>
          <t>Note:
  1. Ruang Admin dan Toilet dapat berada dalam 1 Area/Kawasan Kantor (tidak harus didalam gudang)
  2. Area gudang diberikan pemisah yang jelas (demarkasi/rantai) dan tagging penamaan
 (2) Melihat data pemakaian alat harian (jika ada)</t>
        </is>
      </c>
      <c r="T21" s="108" t="n"/>
      <c r="U21" s="109" t="n"/>
      <c r="V21" s="10" t="inlineStr">
        <is>
          <t xml:space="preserve">Gudang Persediaan (Gudang Tertutup, Kinerja 2025) </t>
        </is>
      </c>
      <c r="W21" s="56" t="n"/>
      <c r="X21" s="8" t="n">
        <v>0</v>
      </c>
      <c r="Y21" s="8" t="n"/>
    </row>
    <row r="22" ht="114.75" customHeight="1" s="57">
      <c r="A22" s="56" t="n"/>
      <c r="B22" s="126" t="n"/>
      <c r="D22" s="11" t="n">
        <v>3.2</v>
      </c>
      <c r="E22" s="109" t="n"/>
      <c r="F22" s="123" t="inlineStr">
        <is>
          <t xml:space="preserve">Ketersediaan dan Kondisi Sarana (Alat Angkut)
</t>
        </is>
      </c>
      <c r="G22" s="109" t="n"/>
      <c r="H22" s="14" t="inlineStr">
        <is>
          <t xml:space="preserve">Level 1 : Tidak tersedia alat angkut atau hanya memiliki 1 alat angkut kondisi layak </t>
        </is>
      </c>
      <c r="I22" s="123" t="inlineStr">
        <is>
          <t xml:space="preserve">Level 2 : Tersedia 2 dari 4 Alat Angkut dengan kondisi layak digunakan </t>
        </is>
      </c>
      <c r="J22" s="109" t="n"/>
      <c r="K22" s="123" t="inlineStr">
        <is>
          <t xml:space="preserve">Level 3 : Tersedia 3 dari 4 Alat Angkut dengan kondisi layak digunakan, atau tersedia 4 dari 4 Alat Angkut dengan kondisi layak digunakan namun belum ada Sertifikasi, 
(kondisi layak digunakan tersampaikan pada Daftar Alat Kerja di Lampiran Laporan Bulanan)
</t>
        </is>
      </c>
      <c r="L22" s="109" t="n"/>
      <c r="M22" s="123" t="inlineStr">
        <is>
          <t xml:space="preserve">Level 4 : Tersedia 4 dari 4 Alat Angkut, dengan kondisi layak digunakan dan tersertifikasi salah satu (SIA atau SIO) untuk masing-masing crane dan forklift, 
(kondisi layak digunakan tersampaikan pada Daftar Alat Kerja di Lampiran Laporan Bulanan)
 </t>
        </is>
      </c>
      <c r="N22" s="109" t="n"/>
      <c r="O22" s="123" t="inlineStr">
        <is>
          <t>Level 5 : Tersedia lengkap 4 Alat Angkut, dengan kondisi layak digunakan dan tersertifikasi lengkap (SIA &amp; SIO) untuk crane dan forklift
(kondisi layak digunakan tersampaikan pada Daftar Alat Kerja di Lampiran Laporan Bulanan)</t>
        </is>
      </c>
      <c r="P22" s="109" t="n"/>
      <c r="Q22" s="123" t="inlineStr">
        <is>
          <t>&gt; Evidence merupakan foto dari:
 1. Forklift 
 2. Handlift
 3. Trolley
 4. Crane
 5. SIA (untuk level 4 dan 5)
 6. SIO (untuk level 4 dan 5)
 7. Daftar Alat Kerja Gudang (sebagai lampiran dari Laporan Bulanan)</t>
        </is>
      </c>
      <c r="R22" s="109" t="n"/>
      <c r="S22" s="122" t="inlineStr">
        <is>
          <t xml:space="preserve"> Note:
 1. Apabila Unit melakukan Kontrak Sewa terhadap penggunaan Alat Angkut maka dapat diakomodir (bukan harus kepemilikan PLN) namun tetap memperhatikan Kelayakan Sarana dan sertifikat (SIA &amp; SIO). Batas berlakunya Sertifikat hingga tanggal dilaksanakan self Assessment
2.Tabel Daftar Alat Kerja Gudang untuk lampiran laporan bulanan</t>
        </is>
      </c>
      <c r="T22" s="108" t="n"/>
      <c r="U22" s="109" t="n"/>
      <c r="V22" s="10" t="inlineStr">
        <is>
          <t xml:space="preserve">Gudang Persediaan (Gudang Tertutup, Kinerja 2025) </t>
        </is>
      </c>
      <c r="W22" s="56" t="n"/>
      <c r="X22" s="8" t="n">
        <v>0</v>
      </c>
      <c r="Y22" s="8" t="n"/>
    </row>
    <row r="23" ht="126" customHeight="1" s="57">
      <c r="A23" s="56" t="n"/>
      <c r="B23" s="121" t="n"/>
      <c r="D23" s="130" t="n">
        <v>3.3</v>
      </c>
      <c r="E23" s="109" t="n"/>
      <c r="F23" s="122" t="inlineStr">
        <is>
          <t>Ketersediaan Layout Gudang Tertutup (bukan kawasan gudang)</t>
        </is>
      </c>
      <c r="G23" s="109" t="n"/>
      <c r="H23" s="9" t="inlineStr">
        <is>
          <t xml:space="preserve">Level 1 : Tidak ada Layout
 </t>
        </is>
      </c>
      <c r="I23" s="122" t="inlineStr">
        <is>
          <t xml:space="preserve">Level 2 : Layout ada namun tidak sesuai aktual gudang (tidak terupdate)
</t>
        </is>
      </c>
      <c r="J23" s="109" t="n"/>
      <c r="K23" s="122" t="inlineStr">
        <is>
          <t xml:space="preserve">Level 3 : Layout gudang terupdate dan terpasang di dinding ruang Admin serta Gudang
</t>
        </is>
      </c>
      <c r="L23" s="109" t="n"/>
      <c r="M23" s="122" t="inlineStr">
        <is>
          <t xml:space="preserve">Level 4 : Layout gudang terupdate, terpasang di dinding (ruang admin dan gudang) serta posisi rak, posisi area gudang dan jalur akses alat berat tergambarkan
 </t>
        </is>
      </c>
      <c r="N23" s="109" t="n"/>
      <c r="O23" s="122" t="inlineStr">
        <is>
          <t>Level 5 : Layout ada sesuai level 4 serta posisi APAR, posisi jalur evakuasi dan posisi cctv tergambarkan. Ditandatangani Man UPT</t>
        </is>
      </c>
      <c r="P23" s="109" t="n"/>
      <c r="Q23" s="122" t="inlineStr">
        <is>
          <t>&gt; Evidence Foto:
 1. Layout Gudang yang disesuaikan dengan persyaratan per level penilaian
 2. Ukuran Layout Gudang adalah Minimal A3, apabila tidak seusai ukuran menjadi Level 1</t>
        </is>
      </c>
      <c r="R23" s="109" t="n"/>
      <c r="S23" s="122" t="inlineStr">
        <is>
          <t xml:space="preserve"> Note:
 1. Layout Gudang terupdate = sesuai penggambaran tata letak material kondisi aktual
 2. Area Gudang: 
  a. Area Bongkar Muat/Loading Dock/Drop Zone
  b. Area Penerimaan
  c. Area Pengeluaran
  d. Area Penyimpanan
  e. Area Pendukung (ruang Admin), apabila terdapat di dalam Gudang maka harus tergambarkan dalam layout
 3. Tanda Tangan MAN UPT</t>
        </is>
      </c>
      <c r="T23" s="108" t="n"/>
      <c r="U23" s="109" t="n"/>
      <c r="V23" s="10" t="inlineStr">
        <is>
          <t xml:space="preserve">Gudang Persediaan (Gudang Tertutup, Kinerja 2025) </t>
        </is>
      </c>
      <c r="W23" s="56" t="n"/>
      <c r="X23" s="8" t="n">
        <v>0</v>
      </c>
      <c r="Y23" s="8" t="n"/>
    </row>
    <row r="24" ht="132.75" customHeight="1" s="57">
      <c r="A24" s="56" t="n"/>
      <c r="B24" s="75" t="n"/>
      <c r="C24" s="75" t="n"/>
      <c r="D24" s="130" t="n">
        <v>3.4</v>
      </c>
      <c r="E24" s="109" t="n"/>
      <c r="F24" s="131" t="inlineStr">
        <is>
          <t>Evaluasi tata letak (Tata letak gudang dievaluasi secara berkala terkait efisiensi dan masuk/keluar material)</t>
        </is>
      </c>
      <c r="G24" s="109" t="n"/>
      <c r="H24" s="16" t="inlineStr">
        <is>
          <t>Tidak ada kegiatan evaluasi yang dilakukan</t>
        </is>
      </c>
      <c r="I24" s="131" t="inlineStr">
        <is>
          <t>Evaluasi dilakukan secara terjadwal setiap tahun, namun tidak memenuhi semua eviden dan hanya salah satu gudang</t>
        </is>
      </c>
      <c r="J24" s="109" t="n"/>
      <c r="K24" s="131" t="inlineStr">
        <is>
          <t>Evaluasi dilakukan secara terjadwal setiap tahun, dengan memenuhi semua eviden evaluasi dan hanya salah satu gudang</t>
        </is>
      </c>
      <c r="L24" s="109" t="n"/>
      <c r="M24" s="131" t="inlineStr">
        <is>
          <t xml:space="preserve">Evaluasi dilakukan secara terjadwal
setiap tahun dengan memenuhi semua eviden evaluasi untuk kedua gudang </t>
        </is>
      </c>
      <c r="N24" s="109" t="n"/>
      <c r="O24" s="131" t="inlineStr">
        <is>
          <t>Evaluasi dilakukan secara terjadwal
setiap semester dengan memenuhi semua eviden evaluasi untuk kedua gudang</t>
        </is>
      </c>
      <c r="P24" s="109" t="n"/>
      <c r="Q24" s="131" t="inlineStr">
        <is>
          <t>Eviden Evaluasi:
 1. Notulen rapat evaluasi tata kelola material dengan terdapat pembahasan:
     a. Kontrak Material (terkait kesesuaian material dengan GI/Gudangnya)
     b. Rencana area penyimpanan untuk material yang akan datang pada tahun berjalan
     c. Rencana tindaklanjut dari setiap jenis material di area penyimpanan (rencana keluar material)</t>
        </is>
      </c>
      <c r="R24" s="109" t="n"/>
      <c r="S24" s="131" t="inlineStr">
        <is>
          <t>1. Unit Induk dapat melakukan atau mengkoordinir pelaksanaan evaluasi pengelolaan logistik (penyimpanan material di gudang sesuai dengan item pada eviden)</t>
        </is>
      </c>
      <c r="T24" s="108" t="n"/>
      <c r="U24" s="109" t="n"/>
      <c r="V24" s="17" t="inlineStr">
        <is>
          <t>Gudang Persediaan (Gudang Tertutup, Kinerja 2025) &amp; Gudang MRWI/ATTB (Gudang Terbuka/Tertutup)</t>
        </is>
      </c>
      <c r="W24" s="56" t="n"/>
      <c r="X24" s="18" t="n">
        <v>0</v>
      </c>
      <c r="Y24" s="18" t="n">
        <v>0</v>
      </c>
    </row>
    <row r="25" ht="172.5" customHeight="1" s="57">
      <c r="A25" s="56" t="n"/>
      <c r="B25" s="75" t="n"/>
      <c r="C25" s="75" t="n"/>
      <c r="D25" s="130" t="n">
        <v>3.5</v>
      </c>
      <c r="E25" s="109" t="n"/>
      <c r="F25" s="131" t="inlineStr">
        <is>
          <t>Penyampaian kondisi material Ex Operasi (MTU) yang akan kembali ke gudang</t>
        </is>
      </c>
      <c r="G25" s="109" t="n"/>
      <c r="H25" s="16" t="inlineStr">
        <is>
          <t>Tidak terdapat Eviden untuk keseluruhan material sampling</t>
        </is>
      </c>
      <c r="I25" s="16" t="inlineStr">
        <is>
          <t xml:space="preserve">Terdapat salah satu eviden (TUG 10 atau BA Penggantian Material) untuk salah satu sampling material </t>
        </is>
      </c>
      <c r="J25" s="109" t="n"/>
      <c r="K25" s="16" t="inlineStr">
        <is>
          <t>Terdapat salah satu eviden (TUG 10 atau BA Penggantian Material) untuk keseluruhan sampling material</t>
        </is>
      </c>
      <c r="L25" s="109" t="n"/>
      <c r="M25" s="16" t="inlineStr">
        <is>
          <t xml:space="preserve">Terdapat 2 eviden lengkap (TUG 10 dan BA Penggantian Material) untuk salah satu sampling material </t>
        </is>
      </c>
      <c r="N25" s="109" t="n"/>
      <c r="O25" s="16" t="inlineStr">
        <is>
          <t>Terdapat 2 eviden lengkap (TUG 10 dan BA Penggantian Material) untuk keseluruhan sampling material</t>
        </is>
      </c>
      <c r="P25" s="109" t="n"/>
      <c r="Q25" s="131" t="inlineStr">
        <is>
          <t>Eviden (sampling 3 material): 
1) TUG 10 / Pengembalian, dimana terinfokan pada TUG tsb:
     a. Nama material
     b. Jumlah 
     c. Satuan
     d. Keterangan: (nama pekerjaan)
     e. Tanggal Penerimaan//Tanggal Pengembalian:
     f. Tanggal Pengeluaran TUG 9/Tanggal terakhir Operasi :
     g. Nama Gudang / SLoc :
     h. Nama Lokasi Pekerjaan / GI : 
     TUG 10 di Tandatangani PIC ULTG dan PIC Gudang UPT
2) BA Penggantian Material dari tim ULTG</t>
        </is>
      </c>
      <c r="R25" s="109" t="n"/>
      <c r="S25" s="131" t="inlineStr">
        <is>
          <t xml:space="preserve">Note:
1. Apabila pihak yang mengembalikan material adalah vendor, maka tetap harus dilengkapi dengan TUG 10, dikarenakan TUG 10 merupakan bagian lampiran dari STK Pergudangan
</t>
        </is>
      </c>
      <c r="T25" s="108" t="n"/>
      <c r="U25" s="109" t="n"/>
      <c r="V25" s="17" t="inlineStr">
        <is>
          <t>Gudang MRWI/ATTB (Gudang Terbuka/Tertutup)</t>
        </is>
      </c>
      <c r="W25" s="56" t="n"/>
      <c r="X25" s="8" t="n"/>
      <c r="Y25" s="18" t="n">
        <v>0</v>
      </c>
    </row>
    <row r="26" ht="159" customHeight="1" s="57">
      <c r="A26" s="56" t="n"/>
      <c r="B26" s="75" t="n"/>
      <c r="C26" s="75" t="n"/>
      <c r="D26" s="130" t="n">
        <v>3.6</v>
      </c>
      <c r="E26" s="109" t="n"/>
      <c r="F26" s="131" t="inlineStr">
        <is>
          <t>Pemilahan material ex operasi sesuai dengan zona penyimpanan MRWI (sesuai dengan cluster nya)</t>
        </is>
      </c>
      <c r="G26" s="109" t="n"/>
      <c r="H26" s="19" t="inlineStr">
        <is>
          <t>Belum tersedia cluster dan Penyimpanan material belum dikelompokkan berdasarkan clusternya</t>
        </is>
      </c>
      <c r="I26" s="132" t="inlineStr">
        <is>
          <t>Cluster tidak tersedia lengkap dan Penyimpanan material belum dikelompokkan berdasarkan clusternya</t>
        </is>
      </c>
      <c r="J26" s="109" t="n"/>
      <c r="K26" s="19" t="inlineStr">
        <is>
          <t>Cluster tidak tersedia lengkap dan Kesesuaian penyimpanan sampling 1 material yang disimpan berdasarkan clusternya</t>
        </is>
      </c>
      <c r="L26" s="109" t="n"/>
      <c r="M26" s="19" t="inlineStr">
        <is>
          <t>Cluster tidak tersedia lengkap dan Kesesuaian penyimpanan sampling 2 material yang disimpan berdasarkan clusternya</t>
        </is>
      </c>
      <c r="N26" s="109" t="n"/>
      <c r="O26" s="19" t="inlineStr">
        <is>
          <t>Semua Cluster lengkap tersedia dan Kesesuaian penyimpanan sampling 3 material berdasarkan clusternya</t>
        </is>
      </c>
      <c r="P26" s="109" t="n"/>
      <c r="Q26" s="131" t="inlineStr">
        <is>
          <t>1. Evidence merupakan foto dari setiap cluster:
    1. Cluster ATTB standby
     2. Cluster ATTB Perbaikan
     3. Cluster ATTB Garansi/Asuransi
     4. Cluster ATTB Usul Hapus
2. Foto Penyimpanan Material berdasarakan cluster
3. Total Sampling 3 Jenis Material berdasarkan clusternya (Sampling 3 jenis material tersebut, dapat dalam 1 cluster yang sama atau cluster yang berbeda-beda)</t>
        </is>
      </c>
      <c r="R26" s="109" t="n"/>
      <c r="S26" s="131" t="n"/>
      <c r="T26" s="108" t="n"/>
      <c r="U26" s="109" t="n"/>
      <c r="V26" s="17" t="inlineStr">
        <is>
          <t>Gudang MRWI/ATTB (Gudang Terbuka/Tertutup)</t>
        </is>
      </c>
      <c r="W26" s="56" t="n"/>
      <c r="X26" s="8" t="n"/>
      <c r="Y26" s="18" t="n">
        <v>0</v>
      </c>
    </row>
    <row r="27" ht="159" customHeight="1" s="57">
      <c r="A27" s="56" t="n"/>
      <c r="B27" s="75" t="n"/>
      <c r="C27" s="75" t="n"/>
      <c r="D27" s="130" t="n">
        <v>3.7</v>
      </c>
      <c r="E27" s="109" t="n"/>
      <c r="F27" s="131" t="inlineStr">
        <is>
          <t>Ketersediaan Layout Gudang Terbuka (bukan kawasan gudang)</t>
        </is>
      </c>
      <c r="G27" s="109" t="n"/>
      <c r="H27" s="16" t="inlineStr">
        <is>
          <t xml:space="preserve">Level 1 : Tidak ada Layout
 </t>
        </is>
      </c>
      <c r="I27" s="131" t="n"/>
      <c r="J27" s="109" t="n"/>
      <c r="K27" s="131" t="inlineStr">
        <is>
          <t>Level 3 : Layout gudang sudah ada namun belum terdapat posisi cluster (update)</t>
        </is>
      </c>
      <c r="L27" s="109" t="n"/>
      <c r="M27" s="131" t="n"/>
      <c r="N27" s="109" t="n"/>
      <c r="O27" s="131" t="inlineStr">
        <is>
          <t>Level 5 : Layout telah terdapat posisi cluster dan sesuai aktual gudang. Ditandatangani Man UPT</t>
        </is>
      </c>
      <c r="P27" s="109" t="n"/>
      <c r="Q27" s="131" t="inlineStr">
        <is>
          <t>&gt; Evidence Foto:
 1. Layout Gudang yang disesuaikan dengan persyaratan per level penilaian
 2. Ukuran Layout Gudang adalah Minimal A3, apabila tidak seusai ukuran menjadi Level 1</t>
        </is>
      </c>
      <c r="R27" s="109" t="n"/>
      <c r="S27" s="131" t="inlineStr">
        <is>
          <t xml:space="preserve"> Note:
 1. Layout harus memenuhi Cluster Gudang: 
    a. Cluster ATTB standby
    b. Cluster ATTB Perbaikan
    c. Cluster ATTB Garansi / Asuransi
    d. Cluster ATTB Usul Hapus
2. Tanda Tangan MAN UPT</t>
        </is>
      </c>
      <c r="T27" s="108" t="n"/>
      <c r="U27" s="109" t="n"/>
      <c r="V27" s="17" t="inlineStr">
        <is>
          <t>Gudang MRWI/ATTB (Gudang Terbuka/Tertutup)</t>
        </is>
      </c>
      <c r="W27" s="56" t="n"/>
      <c r="X27" s="8" t="n"/>
      <c r="Y27" s="18" t="n">
        <v>0</v>
      </c>
    </row>
    <row r="28" ht="15.75" customHeight="1" s="57">
      <c r="A28" s="56" t="n"/>
      <c r="B28" s="126" t="n"/>
      <c r="D28" s="129" t="inlineStr">
        <is>
          <t>4. Keamanan dan Keselamatan</t>
        </is>
      </c>
      <c r="E28" s="108" t="n"/>
      <c r="F28" s="108" t="n"/>
      <c r="G28" s="108" t="n"/>
      <c r="H28" s="108" t="n"/>
      <c r="I28" s="108" t="n"/>
      <c r="J28" s="108" t="n"/>
      <c r="K28" s="108" t="n"/>
      <c r="L28" s="108" t="n"/>
      <c r="M28" s="108" t="n"/>
      <c r="N28" s="108" t="n"/>
      <c r="O28" s="108" t="n"/>
      <c r="P28" s="108" t="n"/>
      <c r="Q28" s="108" t="n"/>
      <c r="R28" s="108" t="n"/>
      <c r="S28" s="108" t="n"/>
      <c r="T28" s="108" t="n"/>
      <c r="U28" s="109" t="n"/>
      <c r="V28" s="15" t="n"/>
      <c r="W28" s="56" t="n"/>
      <c r="X28" s="4">
        <f>AVERAGE(X29:X34)</f>
        <v/>
      </c>
      <c r="Y28" s="4">
        <f>AVERAGE(Y31:Y32)</f>
        <v/>
      </c>
    </row>
    <row r="29" ht="90" customHeight="1" s="57">
      <c r="A29" s="56" t="n"/>
      <c r="B29" s="121" t="n">
        <v>0</v>
      </c>
      <c r="D29" s="11" t="n">
        <v>4.1</v>
      </c>
      <c r="E29" s="109" t="n"/>
      <c r="F29" s="120" t="inlineStr">
        <is>
          <t>Ketersediaan Sistem Proteksi Kebakaran</t>
        </is>
      </c>
      <c r="G29" s="109" t="n"/>
      <c r="H29" s="6" t="inlineStr">
        <is>
          <t xml:space="preserve">Level 1 : Tidak ada Sistem Proteksi Kebakaran
 </t>
        </is>
      </c>
      <c r="I29" s="133" t="inlineStr">
        <is>
          <t xml:space="preserve">Level 2 : Tersedia minimal 1 unit APAT
</t>
        </is>
      </c>
      <c r="J29" s="109" t="n"/>
      <c r="K29" s="120" t="inlineStr">
        <is>
          <t xml:space="preserve">Level 3 : Tersedia minimal 1 unit APAR (Layak) di salah satu lokasi (di area penyimpanan atau ruang admin (apabila terpisah dengan gudangnya sesuai keterangan eviden)), serta ada tanda penunjuk posisi APAR
 </t>
        </is>
      </c>
      <c r="L29" s="109" t="n"/>
      <c r="M29" s="133" t="inlineStr">
        <is>
          <t xml:space="preserve">Level 4 : Tersedia masing-masing minimal 1 unit APAR (Layak) di area penyimpanan dan ruang admin (apabila terpisah dengan gudangnya sesuai keterangan eviden), serta ada tanda penunjuk posisi APAR
 </t>
        </is>
      </c>
      <c r="N29" s="109" t="n"/>
      <c r="O29" s="120" t="inlineStr">
        <is>
          <t>Level 5 : Terpenuhi Level 4, Ketersediaan Alarm/Detector dan Tersedia Fire Protection System (Hydrant)</t>
        </is>
      </c>
      <c r="P29" s="109" t="n"/>
      <c r="Q29" s="120" t="inlineStr">
        <is>
          <t xml:space="preserve">&gt; Evidence:
 1. Foto APAR (di Gudang dan di Ruang Admin/Kantor apabila terpisah dengan Gudangnya)
 2. Foto kelayakan APAR (tanggal APAR belum expired)
 3. Foto tanda penunjuk posisi APAR 
 4. Level 5 : Foto dari Hydrant, Alarm/Detector dan Foto Pengujian (Alarm/Detector &amp; Hydrant) atau ceklist pemeliharaan 
 </t>
        </is>
      </c>
      <c r="R29" s="109" t="n"/>
      <c r="S29" s="120" t="n"/>
      <c r="T29" s="108" t="n"/>
      <c r="U29" s="109" t="n"/>
      <c r="V29" s="7" t="inlineStr">
        <is>
          <t xml:space="preserve">Gudang Persediaan (Gudang Tertutup, Kinerja 2025) </t>
        </is>
      </c>
      <c r="W29" s="56" t="n"/>
      <c r="X29" s="8" t="n">
        <v>0</v>
      </c>
      <c r="Y29" s="8" t="n"/>
    </row>
    <row r="30" ht="157.5" customHeight="1" s="57">
      <c r="A30" s="56" t="n"/>
      <c r="B30" s="121" t="n">
        <v>0</v>
      </c>
      <c r="D30" s="11" t="n">
        <v>4.2</v>
      </c>
      <c r="E30" s="109" t="n"/>
      <c r="F30" s="120" t="inlineStr">
        <is>
          <t>Ketersediaan Rambu-Rambu K3 / Safety Sign dan Sarana K3</t>
        </is>
      </c>
      <c r="G30" s="109" t="n"/>
      <c r="H30" s="6" t="inlineStr">
        <is>
          <t xml:space="preserve">Level 1 : Tidak terdapat Rambu-Rambu K3 dan Sarana K3 
</t>
        </is>
      </c>
      <c r="I30" s="133" t="n"/>
      <c r="J30" s="109" t="n"/>
      <c r="K30" s="133" t="inlineStr">
        <is>
          <t xml:space="preserve">Level 3 :Salah satu Eviden tidak tersedia (Eviden Rambu-rambu K3 atau Sarana K3)
</t>
        </is>
      </c>
      <c r="L30" s="109" t="n"/>
      <c r="M30" s="133" t="n"/>
      <c r="N30" s="109" t="n"/>
      <c r="O30" s="120" t="inlineStr">
        <is>
          <t>Level 5 : Eviden tersedia lengkap (Rambu rambu K3 dan Sarana K3)</t>
        </is>
      </c>
      <c r="P30" s="109" t="n"/>
      <c r="Q30" s="120" t="inlineStr">
        <is>
          <t xml:space="preserve">&gt; Evidence Rambu-rambu K3 merupakan foto :
 1. rambu jalur evakuasi gempa/kebakaran 
 2. rambu keselamatan kerja (safety sign) 
 3. SOP Kondisi emergency/darurat 
 4. SK tim tanggap darurat (update pada tahun berjalan termasuk SK tim)
&gt; Evidence Sarana K3 merupakan foto :
 1. kotak P3K
 2. Helm Safety (disesuaikan dengan jumlah kebutuhan di gudang)
 3. Sepatu Safety/Pelindung Sepatu (disesuaikan dengan jumlah kebutuhan di gudang)
 4. Rompi (disesuaikan dengan jumlah kebutuhan di gudang)
</t>
        </is>
      </c>
      <c r="R30" s="109" t="n"/>
      <c r="S30" s="120" t="inlineStr">
        <is>
          <t xml:space="preserve"> Note:
 1. Penggunaan Rambu-rambu mengacu referensi SPLN K3
 2. Jumlah Helm, Sepatu dan Rompi dapat disediakan lebih dari jumlah kebutuhan di gudang (apabila ada kebutuhan tamu)
 3. Warna helm : helm putih atau helm biru</t>
        </is>
      </c>
      <c r="T30" s="108" t="n"/>
      <c r="U30" s="109" t="n"/>
      <c r="V30" s="7" t="inlineStr">
        <is>
          <t xml:space="preserve">Gudang Persediaan (Gudang Tertutup, Kinerja 2025) </t>
        </is>
      </c>
      <c r="W30" s="56" t="n"/>
      <c r="X30" s="8" t="n">
        <v>0</v>
      </c>
      <c r="Y30" s="8" t="n"/>
    </row>
    <row r="31" ht="184.5" customHeight="1" s="57">
      <c r="A31" s="56" t="n"/>
      <c r="B31" s="75" t="n"/>
      <c r="C31" s="75" t="n"/>
      <c r="D31" s="11" t="n">
        <v>4.3</v>
      </c>
      <c r="E31" s="109" t="n"/>
      <c r="F31" s="131" t="inlineStr">
        <is>
          <t>Ketersediaan Sarana Keamanan</t>
        </is>
      </c>
      <c r="G31" s="109" t="n"/>
      <c r="H31" s="16" t="inlineStr">
        <is>
          <t xml:space="preserve">Level 1 : Tidak Tersedia CCTV 
 </t>
        </is>
      </c>
      <c r="I31" s="131" t="inlineStr">
        <is>
          <t>Level 2: Salah satu dari 5 area termonitor CCTV dan blm tersedia CCTV untuk cluster</t>
        </is>
      </c>
      <c r="J31" s="109" t="n"/>
      <c r="K31" s="131" t="inlineStr">
        <is>
          <t>Level 3: salah satu dari 5 area termonitor cctv dan salah satu dari 4 cluster termonitor cctv</t>
        </is>
      </c>
      <c r="L31" s="109" t="n"/>
      <c r="M31" s="131" t="inlineStr">
        <is>
          <t>Level 4: Keseluruhan dari 5 area termonitor cctv serta tanpa blind spot dan salah satu cluster dari 4 cluster termonitor cctv</t>
        </is>
      </c>
      <c r="N31" s="109" t="n"/>
      <c r="O31" s="131" t="inlineStr">
        <is>
          <t xml:space="preserve">Level 5: Seluruh area (5 area) dan cluster (4 cluster) termonitor CCTV serta tanpa blind spot
</t>
        </is>
      </c>
      <c r="P31" s="109" t="n"/>
      <c r="Q31" s="131" t="inlineStr">
        <is>
          <t>&gt; Evidence Foto :
 1. CCTV yang terpasang 
 2. Tampilan layar CCTV,</t>
        </is>
      </c>
      <c r="R31" s="109" t="n"/>
      <c r="S31" s="131" t="inlineStr">
        <is>
          <t xml:space="preserve"> Note:
 1. Area gudang tertutup yang termonitor CCTV sebagai berikut:
  a. Area bongkar muat
  b. Area penyimpanan
  c. Area pengeluaran
  d. Area penerimaan
  e. Area pendukung (ruang admin)
2. Area gudang terbuka yang termonitor CCTV sebagai berikut:
    a. Cluster ATTB standby
    b. Cluster ATTB Perbaikan
    c. Cluster ATTB Garansi / Asuransi
    d. Cluster ATTB Usul Hapus</t>
        </is>
      </c>
      <c r="T31" s="108" t="n"/>
      <c r="U31" s="109" t="n"/>
      <c r="V31" s="17" t="inlineStr">
        <is>
          <t>Gudang Persediaan (Gudang Tertutup, Kinerja 2025) &amp; Gudang MRWI/ATTB (Gudang Terbuka/Tertutup)</t>
        </is>
      </c>
      <c r="W31" s="56" t="n"/>
      <c r="X31" s="18" t="n">
        <v>0</v>
      </c>
      <c r="Y31" s="18" t="n">
        <v>0</v>
      </c>
    </row>
    <row r="32" ht="98.25" customHeight="1" s="57">
      <c r="A32" s="56" t="n"/>
      <c r="B32" s="75" t="n"/>
      <c r="C32" s="75" t="n"/>
      <c r="D32" s="11" t="n">
        <v>4.4</v>
      </c>
      <c r="E32" s="109" t="n"/>
      <c r="F32" s="131" t="inlineStr">
        <is>
          <t>Ketersediaan Perijinan Bekerja Sebelum Pelaksanaan Pekerjaan (working permit)</t>
        </is>
      </c>
      <c r="G32" s="109" t="n"/>
      <c r="H32" s="16" t="inlineStr">
        <is>
          <t>Tidak tersedia Working Permit</t>
        </is>
      </c>
      <c r="I32" s="134" t="n"/>
      <c r="J32" s="109" t="n"/>
      <c r="K32" s="131" t="inlineStr">
        <is>
          <t>Eviden lengkap untuk salah satu sampling WP</t>
        </is>
      </c>
      <c r="L32" s="109" t="n"/>
      <c r="M32" s="134" t="n"/>
      <c r="N32" s="109" t="n"/>
      <c r="O32" s="131" t="inlineStr">
        <is>
          <t>Eviden lengkap untuk keseluruhan sampling WP dan keseluruhan gudang</t>
        </is>
      </c>
      <c r="P32" s="109" t="n"/>
      <c r="Q32" s="131" t="inlineStr">
        <is>
          <t>Eviden :
1. Working Permit yang di tanda tangani pejabat terkait secara lengkap
2. Foto Pelaksanaan Pekerjaan untuk 2 Sampling WP</t>
        </is>
      </c>
      <c r="R32" s="109" t="n"/>
      <c r="S32" s="131" t="inlineStr">
        <is>
          <t>Note:
1. sampling 1 WP untuk masing-masing gudang, sehingga total 2 sampling WP
2. WP untuk masing-masing gudang dapat berupa kegiatan yang berkaitan dengan gudang tersebut</t>
        </is>
      </c>
      <c r="T32" s="108" t="n"/>
      <c r="U32" s="109" t="n"/>
      <c r="V32" s="17" t="inlineStr">
        <is>
          <t>Gudang Persediaan (Gudang Tertutup, Kinerja 2025) &amp; Gudang MRWI/ATTB (Gudang Terbuka/Tertutup)</t>
        </is>
      </c>
      <c r="W32" s="56" t="n"/>
      <c r="X32" s="18" t="n">
        <v>0</v>
      </c>
      <c r="Y32" s="18" t="n">
        <v>0</v>
      </c>
    </row>
    <row r="33" ht="98.25" customHeight="1" s="57">
      <c r="A33" s="56" t="n"/>
      <c r="B33" s="75" t="n"/>
      <c r="C33" s="75" t="n"/>
      <c r="D33" s="11" t="n">
        <v>4.5</v>
      </c>
      <c r="E33" s="109" t="n"/>
      <c r="F33" s="79" t="inlineStr">
        <is>
          <t>Implementasi 5S di gudang (Sort, set in order, Shine, Standardize, Sustain)</t>
        </is>
      </c>
      <c r="G33" s="108" t="n"/>
      <c r="H33" s="9" t="inlineStr">
        <is>
          <t>Hasil checklist 5S &lt; 50%</t>
        </is>
      </c>
      <c r="I33" s="10" t="n"/>
      <c r="J33" s="109" t="n"/>
      <c r="K33" s="9" t="inlineStr">
        <is>
          <t>Hasil checklist 5S antara 50% - 80%</t>
        </is>
      </c>
      <c r="L33" s="109" t="n"/>
      <c r="M33" s="10" t="n"/>
      <c r="N33" s="109" t="n"/>
      <c r="O33" s="9" t="inlineStr">
        <is>
          <t>Hasil checklist 5S
 &gt;80%</t>
        </is>
      </c>
      <c r="P33" s="109" t="n"/>
      <c r="Q33" s="14" t="inlineStr">
        <is>
          <t>1. Hasil Checklist form 5S
2. 3 Sampling Foto</t>
        </is>
      </c>
      <c r="R33" s="109" t="n"/>
      <c r="S33" s="135" t="n"/>
      <c r="T33" s="108" t="n"/>
      <c r="U33" s="109" t="n"/>
      <c r="V33" s="10" t="inlineStr">
        <is>
          <t xml:space="preserve">Gudang Persediaan (Gudang Tertutup, Kinerja 2025) </t>
        </is>
      </c>
      <c r="W33" s="56" t="n"/>
      <c r="X33" s="8" t="n">
        <v>0</v>
      </c>
      <c r="Y33" s="8" t="n"/>
    </row>
    <row r="34" ht="98.25" customHeight="1" s="57">
      <c r="A34" s="56" t="n"/>
      <c r="B34" s="75" t="n"/>
      <c r="C34" s="75" t="n"/>
      <c r="D34" s="11" t="n">
        <v>4.6</v>
      </c>
      <c r="E34" s="109" t="n"/>
      <c r="F34" s="120" t="inlineStr">
        <is>
          <t xml:space="preserve">Tersedianya Risiko pengelolaan logistik material pada profil risiko Unit 
</t>
        </is>
      </c>
      <c r="G34" s="109" t="n"/>
      <c r="H34" s="6" t="inlineStr">
        <is>
          <t>Belum terdapat risiko</t>
        </is>
      </c>
      <c r="I34" s="120" t="n"/>
      <c r="J34" s="109" t="n"/>
      <c r="K34" s="120" t="inlineStr">
        <is>
          <t>Tersedia profil risiko unit namun belum lengkap (belum hingga perlakuan risiko / risiko residual)</t>
        </is>
      </c>
      <c r="L34" s="109" t="n"/>
      <c r="M34" s="120" t="n"/>
      <c r="N34" s="109" t="n"/>
      <c r="O34" s="120" t="inlineStr">
        <is>
          <t>Tersedia profil risiko unit dan lengkap (hingga perlakuan risiko / risiko residual) dan sudah di tandatangani Man UPT</t>
        </is>
      </c>
      <c r="P34" s="109" t="n"/>
      <c r="Q34" s="120" t="inlineStr">
        <is>
          <t>eviden:
1. dokumen profil risiko unit</t>
        </is>
      </c>
      <c r="R34" s="109" t="n"/>
      <c r="S34" s="120" t="inlineStr">
        <is>
          <t>Note:
1. item kegiatan risiko dapat berupa berkaitan dengan pengelolaan logistik (tidak harus terkait dengan kinerja maturity level pergudangan transmisi)</t>
        </is>
      </c>
      <c r="T34" s="108" t="n"/>
      <c r="U34" s="109" t="n"/>
      <c r="V34" s="20" t="inlineStr">
        <is>
          <t xml:space="preserve">Gudang Persediaan (Gudang Tertutup, Kinerja 2025) </t>
        </is>
      </c>
      <c r="W34" s="56" t="n"/>
      <c r="X34" s="8" t="n">
        <v>0</v>
      </c>
      <c r="Y34" s="8" t="n"/>
    </row>
    <row r="35" ht="15.75" customHeight="1" s="57">
      <c r="A35" s="56" t="n"/>
      <c r="B35" s="126" t="n"/>
      <c r="D35" s="128" t="inlineStr">
        <is>
          <t>5. Teknologi dan Sistem Informasi</t>
        </is>
      </c>
      <c r="E35" s="108" t="n"/>
      <c r="F35" s="108" t="n"/>
      <c r="G35" s="108" t="n"/>
      <c r="H35" s="108" t="n"/>
      <c r="I35" s="108" t="n"/>
      <c r="J35" s="108" t="n"/>
      <c r="K35" s="108" t="n"/>
      <c r="L35" s="108" t="n"/>
      <c r="M35" s="108" t="n"/>
      <c r="N35" s="108" t="n"/>
      <c r="O35" s="108" t="n"/>
      <c r="P35" s="108" t="n"/>
      <c r="Q35" s="108" t="n"/>
      <c r="R35" s="108" t="n"/>
      <c r="S35" s="108" t="n"/>
      <c r="T35" s="108" t="n"/>
      <c r="U35" s="109" t="n"/>
      <c r="V35" s="15" t="n"/>
      <c r="W35" s="56" t="n"/>
      <c r="X35" s="4">
        <f>AVERAGE(X36:X38)</f>
        <v/>
      </c>
      <c r="Y35" s="4">
        <f>(Y37+Y39)/2</f>
        <v/>
      </c>
    </row>
    <row r="36" ht="155.25" customHeight="1" s="57">
      <c r="A36" s="56" t="n"/>
      <c r="B36" s="121" t="n">
        <v>0</v>
      </c>
      <c r="D36" s="13" t="inlineStr">
        <is>
          <t>5,1</t>
        </is>
      </c>
      <c r="E36" s="109" t="n"/>
      <c r="F36" s="122" t="inlineStr">
        <is>
          <t>Penyampaian Informasi Data Material Terintegrasi dan kesesuaian terhadap fisik material</t>
        </is>
      </c>
      <c r="G36" s="109" t="n"/>
      <c r="H36" s="9" t="inlineStr">
        <is>
          <t xml:space="preserve">Level 1 : penyampaian surat melalui AMS dari unit level 2 ke Unit Induk terkait data material melebihi tanggal 10 </t>
        </is>
      </c>
      <c r="I36" s="9" t="inlineStr">
        <is>
          <t xml:space="preserve">Level 2 : Penyampaian surat melalui AMS dari unit level 2 ke Unit Induk dilakukan secara rutin perbulan paling lambat tanggal 10 dan material (persediaan/cadang) terdata lengkap pada data internal unit (spreadsheet)
  </t>
        </is>
      </c>
      <c r="J36" s="109" t="n"/>
      <c r="K36" s="122" t="inlineStr">
        <is>
          <t xml:space="preserve"> Level 3 : Level 2 terpenuhi dan data material pada spreadsheet internal unit telah terintegrasi pada Aplikasi Tableu untuk salah satu sampling material (1 dari 3 sampling) 
</t>
        </is>
      </c>
      <c r="L36" s="109" t="n"/>
      <c r="M36" s="122" t="inlineStr">
        <is>
          <t xml:space="preserve"> Level 4 : Level 2 terpenuhi dan data material pada spreadsheet internal unit telah terintegrasi pada Aplikasi Tableu untuk salah dua sampling material (2 dari 3 sampling) 
</t>
        </is>
      </c>
      <c r="N36" s="109" t="n"/>
      <c r="O36" s="122" t="inlineStr">
        <is>
          <t xml:space="preserve"> Level 5 : Level 2 terpenuhi dan data material pada spreadsheet internal unit telah terintegrasi pada Aplikasi Tableu/BigData untuk 3 sampling material (lengkap) serta sesuai terhadap fisik material di gudang</t>
        </is>
      </c>
      <c r="P36" s="109" t="n"/>
      <c r="Q36" s="122" t="inlineStr">
        <is>
          <t>&gt; Evidence:
 1. pdf dari surat penyampaian AMS dari UPT perbulan / Notulen Konsolidasi Data Logistik (pada periode semester hingga waktu pelaksanaan assessment)
 2. Kesesuaian Data material internal unit (spreadsheet) dan data material pada Tableu untuk setiap jenis peruntukan material dibawah ini, yaitu :
  a. Material Persediaan pada Dashboard Material Persediaan (3 sampling material)
  b. Material Cadang pada dashboard monitoring material cadang (3 sampling material)
3. Foto Sampling material untuk mengecek kesesuaian dengan fisik material</t>
        </is>
      </c>
      <c r="R36" s="109" t="n"/>
      <c r="S36" s="123" t="inlineStr">
        <is>
          <t>Note:
1. Apabila di gudang tersebut hanya terdapat 1 jenis peruntukan material, maka hanya  jenis peruntukan tersebut yang di sampling</t>
        </is>
      </c>
      <c r="T36" s="108" t="n"/>
      <c r="U36" s="109" t="n"/>
      <c r="V36" s="10" t="inlineStr">
        <is>
          <t xml:space="preserve">Gudang Persediaan (Gudang Tertutup, Kinerja 2025) </t>
        </is>
      </c>
      <c r="W36" s="56" t="n"/>
      <c r="X36" s="8" t="n">
        <v>0</v>
      </c>
      <c r="Y36" s="8" t="n"/>
    </row>
    <row r="37" ht="123.75" customHeight="1" s="57">
      <c r="A37" s="56" t="n"/>
      <c r="B37" s="121" t="n">
        <v>0</v>
      </c>
      <c r="D37" s="13" t="inlineStr">
        <is>
          <t>5,2</t>
        </is>
      </c>
      <c r="E37" s="109" t="n"/>
      <c r="F37" s="132" t="inlineStr">
        <is>
          <t>Penyampaian Informasi % Kapasitas Gudang Terintegrasi dengan Tableu dan kesesuaian terhadap fisik gudang</t>
        </is>
      </c>
      <c r="G37" s="109" t="n"/>
      <c r="H37" s="16" t="inlineStr">
        <is>
          <t>Level 1 : penyampaian surat melalui AMS dari unit level 2 ke Unit Induk terkait kapasitas gudang melebihi tanggal 10</t>
        </is>
      </c>
      <c r="I37" s="16" t="n"/>
      <c r="J37" s="109" t="n"/>
      <c r="K37" s="131" t="inlineStr">
        <is>
          <t xml:space="preserve"> Level 3 : Penyampaian surat melalui AMS dari unit level 2 ke Unit Induk terkait kapasitas gudang (dilakukan secara rutin perbulan paling lambat tanggal 10) pada data internal unit (spreadsheet)
</t>
        </is>
      </c>
      <c r="L37" s="109" t="n"/>
      <c r="M37" s="131" t="n"/>
      <c r="N37" s="109" t="n"/>
      <c r="O37" s="131" t="inlineStr">
        <is>
          <t xml:space="preserve"> Level 5 : Data kapasitas gudang tertutup dan terbuka pada spreadsheet internal unit telah terintegrasi pada Aplikasi Tableu/BigData (terdata pada Tableu/BigData)  serta sesuai terhadap komposisi fisik gudang</t>
        </is>
      </c>
      <c r="P37" s="109" t="n"/>
      <c r="Q37" s="131" t="inlineStr">
        <is>
          <t>&gt; Evidence:
 1. pdf dari surat penyampaian AMS perbulan / Notulen Konsolidasi Data Logistik (pada periode semester hingga waktu pelaksanaan assessment)
 2. Kesesuaian Data Gudang internal unit (spreadsheet) dan data gudang pada Tableu, sebagai berikut:
  a. % Luas Gudang, Luas Terpakai, Sisa Gudang, Gudang Terpakai
  b. Komposisi Material di Gudang (Persediaan, Cadang, Pre Memory, ATTB, Lainnya (Limbah Non B3)
3. Sampling Gudang Terbuka dan Gudang Tertutup</t>
        </is>
      </c>
      <c r="R37" s="109" t="n"/>
      <c r="S37" s="132" t="n"/>
      <c r="T37" s="108" t="n"/>
      <c r="U37" s="109" t="n"/>
      <c r="V37" s="17" t="inlineStr">
        <is>
          <t>Gudang Persediaan (Gudang Tertutup, Kinerja 2025) &amp; Gudang MRWI/ATTB (Gudang Terbuka/Tertutup)</t>
        </is>
      </c>
      <c r="W37" s="56" t="n"/>
      <c r="X37" s="18" t="n">
        <v>0</v>
      </c>
      <c r="Y37" s="18" t="n">
        <v>0</v>
      </c>
    </row>
    <row r="38" ht="108.75" customHeight="1" s="57">
      <c r="A38" s="56" t="n"/>
      <c r="B38" s="121" t="n">
        <v>0</v>
      </c>
      <c r="D38" s="13" t="inlineStr">
        <is>
          <t>5,3</t>
        </is>
      </c>
      <c r="E38" s="109" t="n"/>
      <c r="F38" s="122" t="inlineStr">
        <is>
          <t>Digitalisasi Proses Penerimaan MTU KHS melalui aplikasi SCM Marketplace (SMAR)</t>
        </is>
      </c>
      <c r="G38" s="109" t="n"/>
      <c r="H38" s="9" t="inlineStr">
        <is>
          <t xml:space="preserve">Level 1 : Telah terbit DO namun belum dllakukan proses penerimaan SMAR pada GI/Gudang tersebut
</t>
        </is>
      </c>
      <c r="I38" s="122" t="n"/>
      <c r="J38" s="109" t="n"/>
      <c r="K38" s="122" t="inlineStr">
        <is>
          <t xml:space="preserve">Level 3 : Telah terbit DO dan sudah dllakukan proses penerimaan SMAR pada GI/Gudang tersebut (namun belum selesai proses keseluruhan penerimaan)
</t>
        </is>
      </c>
      <c r="L38" s="109" t="n"/>
      <c r="M38" s="122" t="n"/>
      <c r="N38" s="109" t="n"/>
      <c r="O38" s="122" t="inlineStr">
        <is>
          <t xml:space="preserve">Level 5 : Telah terbit DO dan sudah dllakukan keseluruhan proses penerimaan SMAR pada GI/Gudang tersebut (hingga berstatus Rated)
</t>
        </is>
      </c>
      <c r="P38" s="109" t="n"/>
      <c r="Q38" s="122" t="inlineStr">
        <is>
          <t>Evidence :
 1. Data Screenshoot Penerimaan SMAR  menggunakan data Penerimaan material (SMAR) di Unit tersebut (sampling dari 1 GI/gudang dalam UPT tersebut) untuk mengecek kesesuaian jumlah DO yang telah sukses diterima SMAR.
2. Penerimaan MTU di SMAR periode semester tersebut</t>
        </is>
      </c>
      <c r="R38" s="109" t="n"/>
      <c r="S38" s="122" t="inlineStr">
        <is>
          <t xml:space="preserve"> Note:
 1. Data eviden merupakan data pada semester berjalan dilaksanakan check point atau 1 semester sebelumnya
 2. Apabila dalam 1 UPT belum ada kondisi terbit DO (belum alokasi) yang sehingga tidak dapat dilakukan proses penerimaan di SMAR maka termasuk dalam level 2 (namun harus menunjukkan screenshoot tampilan SMAR)</t>
        </is>
      </c>
      <c r="T38" s="108" t="n"/>
      <c r="U38" s="109" t="n"/>
      <c r="V38" s="10" t="inlineStr">
        <is>
          <t xml:space="preserve">Gudang Persediaan (Gudang Tertutup, Kinerja 2025) </t>
        </is>
      </c>
      <c r="W38" s="56" t="n"/>
      <c r="X38" s="8" t="n">
        <v>0</v>
      </c>
      <c r="Y38" s="8" t="n"/>
    </row>
    <row r="39" ht="73.5" customHeight="1" s="57">
      <c r="D39" s="136" t="n">
        <v>5.4</v>
      </c>
      <c r="E39" s="109" t="n"/>
      <c r="F39" s="131" t="inlineStr">
        <is>
          <t>Update data material eks operasi pada sistem (MIMS-AGO)</t>
        </is>
      </c>
      <c r="G39" s="109" t="n"/>
      <c r="H39" s="16" t="inlineStr">
        <is>
          <t>Tercatat pada manual (belum sistem terintegrasi)</t>
        </is>
      </c>
      <c r="I39" s="131" t="inlineStr">
        <is>
          <t>Memiliki akun user logistik pada aplikasi</t>
        </is>
      </c>
      <c r="J39" s="109" t="n"/>
      <c r="K39" s="131" t="inlineStr">
        <is>
          <t xml:space="preserve">Memiliki akun user pada aplikasi dan salah satu data sampling material telah terinput pada aplikasi </t>
        </is>
      </c>
      <c r="L39" s="109" t="n"/>
      <c r="M39" s="131" t="inlineStr">
        <is>
          <t>Salah satu data sampling material telah terinput di aplikasi dan telah terverifikasi sesuai clusternya (kesesuaian cluster di cek pada BA Inspeksi)</t>
        </is>
      </c>
      <c r="N39" s="109" t="n"/>
      <c r="O39" s="131" t="inlineStr">
        <is>
          <t>Keseluruhan sampling material atau lebih telah terinput di aplikasi dan telah terverifikasi sesuai clusternya (kesesuaian cluster di cek pada BA Inspeksi)</t>
        </is>
      </c>
      <c r="P39" s="109" t="n"/>
      <c r="Q39" s="131" t="inlineStr">
        <is>
          <t>Eviden (Sampling 2 Material) :
1. Screenshoot Aplikasi AGO-MIMS (user logistik dan material terinput di aplikasi)
2. BA Inspeksi (format dari Aplikasi AGO-MIMS)
3. Foto Penyimpanan Material</t>
        </is>
      </c>
      <c r="R39" s="109" t="n"/>
      <c r="S39" s="137" t="n"/>
      <c r="T39" s="108" t="n"/>
      <c r="U39" s="109" t="n"/>
      <c r="V39" s="17" t="inlineStr">
        <is>
          <t>Gudang MRWI/ATTB (Gudang Terbuka/Tertutup)</t>
        </is>
      </c>
      <c r="W39" s="56" t="n"/>
      <c r="X39" s="8" t="n">
        <v>3</v>
      </c>
      <c r="Y39" s="18" t="n">
        <v>0</v>
      </c>
    </row>
    <row r="40" ht="15.75" customHeight="1" s="57">
      <c r="F40" s="21" t="n"/>
      <c r="X40" s="22">
        <f>(X3+X14+X20+X28+X35)/5</f>
        <v/>
      </c>
      <c r="Y40" s="23">
        <f>(Y20+Y28+Y35)/3</f>
        <v/>
      </c>
    </row>
    <row r="41" ht="15.75" customHeight="1" s="57">
      <c r="F41" s="24" t="inlineStr">
        <is>
          <t>No</t>
        </is>
      </c>
      <c r="G41" s="25" t="inlineStr">
        <is>
          <t>Item Matlev</t>
        </is>
      </c>
      <c r="H41" s="24" t="inlineStr">
        <is>
          <t>Jumlah (tahun 2025)</t>
        </is>
      </c>
      <c r="I41" s="24" t="inlineStr">
        <is>
          <t>Jumlah (tahun 2026)</t>
        </is>
      </c>
      <c r="J41" s="26" t="inlineStr">
        <is>
          <t>Item Matlev</t>
        </is>
      </c>
      <c r="K41" s="27" t="n"/>
      <c r="L41" s="28" t="inlineStr">
        <is>
          <t>Jumlah</t>
        </is>
      </c>
      <c r="N41" s="29" t="n"/>
      <c r="O41" s="28" t="inlineStr">
        <is>
          <t>Gudang Persediaan</t>
        </is>
      </c>
      <c r="P41" s="28" t="inlineStr">
        <is>
          <t>Gudang MRWI</t>
        </is>
      </c>
      <c r="R41" s="30" t="inlineStr">
        <is>
          <t>Penilaian Matlev</t>
        </is>
      </c>
      <c r="X41" s="21">
        <f>0.75*X40</f>
        <v/>
      </c>
      <c r="Y41" s="21">
        <f>0.25*Y40</f>
        <v/>
      </c>
    </row>
    <row r="42" ht="15.75" customHeight="1" s="57">
      <c r="F42" s="31" t="inlineStr">
        <is>
          <t>I</t>
        </is>
      </c>
      <c r="G42" s="29" t="inlineStr">
        <is>
          <t>Tata Kelola Gudang</t>
        </is>
      </c>
      <c r="H42" s="31" t="n">
        <v>4</v>
      </c>
      <c r="I42" s="31" t="n">
        <v>10</v>
      </c>
      <c r="J42" s="86" t="inlineStr">
        <is>
          <t>Item Matlev Gudang Persediaan</t>
        </is>
      </c>
      <c r="K42" s="33" t="n"/>
      <c r="L42" s="29" t="n">
        <v>24</v>
      </c>
      <c r="N42" s="29" t="inlineStr">
        <is>
          <t>Gudang UPT</t>
        </is>
      </c>
      <c r="O42" s="29" t="n">
        <v>39</v>
      </c>
      <c r="P42" s="29" t="n">
        <v>39</v>
      </c>
      <c r="R42" s="28" t="inlineStr">
        <is>
          <t>Item</t>
        </is>
      </c>
      <c r="S42" s="28" t="inlineStr">
        <is>
          <t>Nilai Level</t>
        </is>
      </c>
      <c r="X42" s="138">
        <f>X41+Y41</f>
        <v/>
      </c>
      <c r="Y42" s="109" t="n"/>
    </row>
    <row r="43" ht="15.75" customHeight="1" s="57">
      <c r="F43" s="31" t="inlineStr">
        <is>
          <t>II</t>
        </is>
      </c>
      <c r="G43" s="29" t="inlineStr">
        <is>
          <t>Manajemen Tenaga Kerja</t>
        </is>
      </c>
      <c r="H43" s="31" t="n">
        <v>4</v>
      </c>
      <c r="I43" s="31" t="n">
        <v>5</v>
      </c>
      <c r="J43" s="29" t="inlineStr">
        <is>
          <t>Item Matlev Gudang MRWI</t>
        </is>
      </c>
      <c r="K43" s="29" t="n"/>
      <c r="L43" s="29" t="n">
        <v>8</v>
      </c>
      <c r="N43" s="29" t="inlineStr">
        <is>
          <t>Gudang UP2B</t>
        </is>
      </c>
      <c r="O43" s="29" t="n">
        <v>8</v>
      </c>
      <c r="P43" s="29" t="n">
        <v>0</v>
      </c>
      <c r="R43" s="29" t="inlineStr">
        <is>
          <t>Item Matlev Gudang Persediaan (A)</t>
        </is>
      </c>
      <c r="S43" s="34" t="inlineStr">
        <is>
          <t>((I+II+III+IV+V)/5) * 0,75</t>
        </is>
      </c>
    </row>
    <row r="44" ht="15.75" customHeight="1" s="57">
      <c r="F44" s="31" t="inlineStr">
        <is>
          <t>III</t>
        </is>
      </c>
      <c r="G44" s="29" t="inlineStr">
        <is>
          <t>Pemanfaatan Sarana dan Prasarana</t>
        </is>
      </c>
      <c r="H44" s="31" t="n">
        <v>3</v>
      </c>
      <c r="I44" s="31" t="n">
        <v>7</v>
      </c>
      <c r="J44" s="86" t="n"/>
      <c r="K44" s="33" t="n"/>
      <c r="L44" s="29" t="n"/>
      <c r="N44" s="29" t="n"/>
      <c r="O44" s="29" t="n"/>
      <c r="P44" s="29" t="n"/>
      <c r="R44" s="29" t="inlineStr">
        <is>
          <t>Item Matlev Gudang MRWI (B)</t>
        </is>
      </c>
      <c r="S44" s="34" t="inlineStr">
        <is>
          <t>((III+IV+V)/3) * 0,25</t>
        </is>
      </c>
    </row>
    <row r="45" ht="15.75" customHeight="1" s="57">
      <c r="F45" s="31" t="inlineStr">
        <is>
          <t>IV</t>
        </is>
      </c>
      <c r="G45" s="29" t="inlineStr">
        <is>
          <t>Keamanan dan Keselamatan</t>
        </is>
      </c>
      <c r="H45" s="31" t="n">
        <v>4</v>
      </c>
      <c r="I45" s="31" t="n">
        <v>6</v>
      </c>
      <c r="J45" s="26" t="inlineStr">
        <is>
          <t>Total Item Matlev</t>
        </is>
      </c>
      <c r="K45" s="27" t="n"/>
      <c r="L45" s="29">
        <f>L42+L43</f>
        <v/>
      </c>
      <c r="N45" s="29" t="n"/>
      <c r="O45" s="29">
        <f>O42+O43</f>
        <v/>
      </c>
      <c r="P45" s="29">
        <f>P42+P43</f>
        <v/>
      </c>
      <c r="R45" s="29" t="n"/>
      <c r="S45" s="29" t="n"/>
    </row>
    <row r="46" ht="15.75" customHeight="1" s="57">
      <c r="F46" s="31" t="inlineStr">
        <is>
          <t>V</t>
        </is>
      </c>
      <c r="G46" s="29" t="inlineStr">
        <is>
          <t>Teknologi dan Sistem Informasi</t>
        </is>
      </c>
      <c r="H46" s="31" t="n">
        <v>3</v>
      </c>
      <c r="I46" s="31" t="n">
        <v>4</v>
      </c>
      <c r="N46" s="28" t="inlineStr">
        <is>
          <t>Total</t>
        </is>
      </c>
      <c r="O46" s="29">
        <f>O45+P45</f>
        <v/>
      </c>
      <c r="P46" s="109" t="n"/>
      <c r="R46" s="29" t="inlineStr">
        <is>
          <t>Total</t>
        </is>
      </c>
      <c r="S46" s="29" t="inlineStr">
        <is>
          <t>A+B</t>
        </is>
      </c>
    </row>
    <row r="47" ht="15.75" customHeight="1" s="57">
      <c r="F47" s="29" t="n"/>
      <c r="G47" s="29" t="n"/>
      <c r="H47" s="31" t="n"/>
      <c r="I47" s="31" t="n"/>
    </row>
    <row r="48" ht="15.75" customHeight="1" s="57">
      <c r="F48" s="24" t="inlineStr">
        <is>
          <t>Total</t>
        </is>
      </c>
      <c r="G48" s="29" t="n"/>
      <c r="H48" s="31">
        <f>SUM(H42:H46)</f>
        <v/>
      </c>
      <c r="I48" s="31">
        <f>SUM(I42:I46)</f>
        <v/>
      </c>
      <c r="K48" s="35" t="inlineStr">
        <is>
          <t>Item Matlev Gudang MRWI</t>
        </is>
      </c>
      <c r="L48" s="35" t="n"/>
    </row>
    <row r="49" ht="15.75" customHeight="1" s="57"/>
    <row r="50" ht="15.75" customHeight="1" s="57"/>
    <row r="51" ht="15.75" customHeight="1" s="57"/>
    <row r="52" ht="15.75" customHeight="1" s="57"/>
    <row r="53" ht="15.75" customHeight="1" s="57"/>
    <row r="54" ht="15.75" customHeight="1" s="57"/>
    <row r="55" ht="15.75" customHeight="1" s="57"/>
    <row r="56" ht="15.75" customHeight="1" s="57"/>
    <row r="57" ht="15.75" customHeight="1" s="57"/>
    <row r="58" ht="15.75" customHeight="1" s="57"/>
    <row r="59" ht="15.75" customHeight="1" s="57"/>
    <row r="60" ht="15.75" customHeight="1" s="57"/>
    <row r="61" ht="15.75" customHeight="1" s="57"/>
    <row r="62" ht="15.75" customHeight="1" s="57"/>
    <row r="63" ht="15.75" customHeight="1" s="57"/>
    <row r="64" ht="15.75" customHeight="1" s="57"/>
    <row r="65" ht="15.75" customHeight="1" s="57"/>
    <row r="66" ht="15.75" customHeight="1" s="57"/>
    <row r="67" ht="15.75" customHeight="1" s="57"/>
    <row r="68" ht="15.75" customHeight="1" s="57"/>
    <row r="69" ht="15.75" customHeight="1" s="57"/>
    <row r="70" ht="15.75" customHeight="1" s="57"/>
    <row r="71" ht="15.75" customHeight="1" s="57"/>
    <row r="72" ht="15.75" customHeight="1" s="57"/>
    <row r="73" ht="15.75" customHeight="1" s="57"/>
    <row r="74" ht="15.75" customHeight="1" s="57"/>
    <row r="75" ht="15.75" customHeight="1" s="57"/>
    <row r="76" ht="15.75" customHeight="1" s="57"/>
    <row r="77" ht="15.75" customHeight="1" s="57"/>
    <row r="78" ht="15.75" customHeight="1" s="57"/>
    <row r="79" ht="15.75" customHeight="1" s="57"/>
    <row r="80" ht="15.75" customHeight="1" s="57"/>
    <row r="81" ht="15.75" customHeight="1" s="57"/>
    <row r="82" ht="15.75" customHeight="1" s="57"/>
    <row r="83" ht="15.75" customHeight="1" s="57"/>
    <row r="84" ht="15.75" customHeight="1" s="57"/>
    <row r="85" ht="15.75" customHeight="1" s="57"/>
    <row r="86" ht="15.75" customHeight="1" s="57"/>
    <row r="87" ht="15.75" customHeight="1" s="57"/>
    <row r="88" ht="15.75" customHeight="1" s="57"/>
    <row r="89" ht="15.75" customHeight="1" s="57"/>
    <row r="90" ht="15.75" customHeight="1" s="57"/>
    <row r="91" ht="15.75" customHeight="1" s="57"/>
    <row r="92" ht="15.75" customHeight="1" s="57"/>
    <row r="93" ht="15.75" customHeight="1" s="57"/>
    <row r="94" ht="15.75" customHeight="1" s="57"/>
    <row r="95" ht="15.75" customHeight="1" s="57"/>
    <row r="96" ht="15.75" customHeight="1" s="57"/>
    <row r="97" ht="15.75" customHeight="1" s="57"/>
    <row r="98" ht="15.75" customHeight="1" s="57"/>
    <row r="99" ht="15.75" customHeight="1" s="57"/>
    <row r="100" ht="15.75" customHeight="1" s="57"/>
    <row r="101" ht="15.75" customHeight="1" s="57"/>
    <row r="102" ht="15.75" customHeight="1" s="57"/>
    <row r="103" ht="15.75" customHeight="1" s="57"/>
    <row r="104" ht="15.75" customHeight="1" s="57"/>
    <row r="105" ht="15.75" customHeight="1" s="57"/>
    <row r="106" ht="15.75" customHeight="1" s="57"/>
    <row r="107" ht="15.75" customHeight="1" s="57"/>
    <row r="108" ht="15.75" customHeight="1" s="57"/>
    <row r="109" ht="15.75" customHeight="1" s="57"/>
    <row r="110" ht="15.75" customHeight="1" s="57"/>
    <row r="111" ht="15.75" customHeight="1" s="57"/>
    <row r="112" ht="15.75" customHeight="1" s="57"/>
    <row r="113" ht="15.75" customHeight="1" s="57"/>
    <row r="114" ht="15.75" customHeight="1" s="57"/>
    <row r="115" ht="15.75" customHeight="1" s="57"/>
    <row r="116" ht="15.75" customHeight="1" s="57"/>
    <row r="117" ht="15.75" customHeight="1" s="57"/>
    <row r="118" ht="15.75" customHeight="1" s="57"/>
    <row r="119" ht="15.75" customHeight="1" s="57"/>
    <row r="120" ht="15.75" customHeight="1" s="57"/>
    <row r="121" ht="15.75" customHeight="1" s="57"/>
    <row r="122" ht="15.75" customHeight="1" s="57"/>
    <row r="123" ht="15.75" customHeight="1" s="57"/>
    <row r="124" ht="15.75" customHeight="1" s="57"/>
    <row r="125" ht="15.75" customHeight="1" s="57"/>
    <row r="126" ht="15.75" customHeight="1" s="57"/>
    <row r="127" ht="15.75" customHeight="1" s="57"/>
    <row r="128" ht="15.75" customHeight="1" s="57"/>
    <row r="129" ht="15.75" customHeight="1" s="57"/>
    <row r="130" ht="15.75" customHeight="1" s="57"/>
    <row r="131" ht="15.75" customHeight="1" s="57"/>
    <row r="132" ht="15.75" customHeight="1" s="57"/>
    <row r="133" ht="15.75" customHeight="1" s="57"/>
    <row r="134" ht="15.75" customHeight="1" s="57"/>
    <row r="135" ht="15.75" customHeight="1" s="57"/>
    <row r="136" ht="15.75" customHeight="1" s="57"/>
    <row r="137" ht="15.75" customHeight="1" s="57"/>
    <row r="138" ht="15.75" customHeight="1" s="57"/>
    <row r="139" ht="15.75" customHeight="1" s="57"/>
    <row r="140" ht="15.75" customHeight="1" s="57"/>
    <row r="141" ht="15.75" customHeight="1" s="57"/>
    <row r="142" ht="15.75" customHeight="1" s="57"/>
    <row r="143" ht="15.75" customHeight="1" s="57"/>
    <row r="144" ht="15.75" customHeight="1" s="57"/>
    <row r="145" ht="15.75" customHeight="1" s="57"/>
    <row r="146" ht="15.75" customHeight="1" s="57"/>
    <row r="147" ht="15.75" customHeight="1" s="57"/>
    <row r="148" ht="15.75" customHeight="1" s="57"/>
    <row r="149" ht="15.75" customHeight="1" s="57"/>
    <row r="150" ht="15.75" customHeight="1" s="57"/>
    <row r="151" ht="15.75" customHeight="1" s="57"/>
    <row r="152" ht="15.75" customHeight="1" s="57"/>
    <row r="153" ht="15.75" customHeight="1" s="57"/>
    <row r="154" ht="15.75" customHeight="1" s="57"/>
    <row r="155" ht="15.75" customHeight="1" s="57"/>
    <row r="156" ht="15.75" customHeight="1" s="57"/>
    <row r="157" ht="15.75" customHeight="1" s="57"/>
    <row r="158" ht="15.75" customHeight="1" s="57"/>
    <row r="159" ht="15.75" customHeight="1" s="57"/>
    <row r="160" ht="15.75" customHeight="1" s="57"/>
    <row r="161" ht="15.75" customHeight="1" s="57"/>
    <row r="162" ht="15.75" customHeight="1" s="57"/>
    <row r="163" ht="15.75" customHeight="1" s="57"/>
    <row r="164" ht="15.75" customHeight="1" s="57"/>
    <row r="165" ht="15.75" customHeight="1" s="57"/>
    <row r="166" ht="15.75" customHeight="1" s="57"/>
    <row r="167" ht="15.75" customHeight="1" s="57"/>
    <row r="168" ht="15.75" customHeight="1" s="57"/>
    <row r="169" ht="15.75" customHeight="1" s="57"/>
    <row r="170" ht="15.75" customHeight="1" s="57"/>
    <row r="171" ht="15.75" customHeight="1" s="57"/>
    <row r="172" ht="15.75" customHeight="1" s="57"/>
    <row r="173" ht="15.75" customHeight="1" s="57"/>
    <row r="174" ht="15.75" customHeight="1" s="57"/>
    <row r="175" ht="15.75" customHeight="1" s="57"/>
    <row r="176" ht="15.75" customHeight="1" s="57"/>
    <row r="177" ht="15.75" customHeight="1" s="57"/>
    <row r="178" ht="15.75" customHeight="1" s="57"/>
    <row r="179" ht="15.75" customHeight="1" s="57"/>
    <row r="180" ht="15.75" customHeight="1" s="57"/>
    <row r="181" ht="15.75" customHeight="1" s="57"/>
    <row r="182" ht="15.75" customHeight="1" s="57"/>
    <row r="183" ht="15.75" customHeight="1" s="57"/>
    <row r="184" ht="15.75" customHeight="1" s="57"/>
    <row r="185" ht="15.75" customHeight="1" s="57"/>
    <row r="186" ht="15.75" customHeight="1" s="57"/>
    <row r="187" ht="15.75" customHeight="1" s="57"/>
    <row r="188" ht="15.75" customHeight="1" s="57"/>
    <row r="189" ht="15.75" customHeight="1" s="57"/>
    <row r="190" ht="15.75" customHeight="1" s="57"/>
    <row r="191" ht="15.75" customHeight="1" s="57"/>
    <row r="192" ht="15.75" customHeight="1" s="57"/>
    <row r="193" ht="15.75" customHeight="1" s="57"/>
    <row r="194" ht="15.75" customHeight="1" s="57"/>
    <row r="195" ht="15.75" customHeight="1" s="57"/>
    <row r="196" ht="15.75" customHeight="1" s="57"/>
    <row r="197" ht="15.75" customHeight="1" s="57"/>
    <row r="198" ht="15.75" customHeight="1" s="57"/>
    <row r="199" ht="15.75" customHeight="1" s="57"/>
    <row r="200" ht="15.75" customHeight="1" s="57"/>
    <row r="201" ht="15.75" customHeight="1" s="57"/>
    <row r="202" ht="15.75" customHeight="1" s="57"/>
    <row r="203" ht="15.75" customHeight="1" s="57"/>
    <row r="204" ht="15.75" customHeight="1" s="57"/>
    <row r="205" ht="15.75" customHeight="1" s="57"/>
    <row r="206" ht="15.75" customHeight="1" s="57"/>
    <row r="207" ht="15.75" customHeight="1" s="57"/>
    <row r="208" ht="15.75" customHeight="1" s="57"/>
    <row r="209" ht="15.75" customHeight="1" s="57"/>
    <row r="210" ht="15.75" customHeight="1" s="57"/>
    <row r="211" ht="15.75" customHeight="1" s="57"/>
    <row r="212" ht="15.75" customHeight="1" s="57"/>
    <row r="213" ht="15.75" customHeight="1" s="57"/>
    <row r="214" ht="15.75" customHeight="1" s="57"/>
    <row r="215" ht="15.75" customHeight="1" s="57"/>
    <row r="216" ht="15.75" customHeight="1" s="57"/>
    <row r="217" ht="15.75" customHeight="1" s="57"/>
    <row r="218" ht="15.75" customHeight="1" s="57"/>
    <row r="219" ht="15.75" customHeight="1" s="57"/>
    <row r="220" ht="15.75" customHeight="1" s="57"/>
    <row r="221" ht="15.75" customHeight="1" s="57"/>
    <row r="222" ht="15.75" customHeight="1" s="57"/>
    <row r="223" ht="15.75" customHeight="1" s="57"/>
    <row r="224" ht="15.75" customHeight="1" s="57"/>
    <row r="225" ht="15.75" customHeight="1" s="57"/>
    <row r="226" ht="15.75" customHeight="1" s="57"/>
    <row r="227" ht="15.75" customHeight="1" s="57"/>
    <row r="228" ht="15.75" customHeight="1" s="57"/>
    <row r="229" ht="15.75" customHeight="1" s="57"/>
    <row r="230" ht="15.75" customHeight="1" s="57"/>
    <row r="231" ht="15.75" customHeight="1" s="57"/>
    <row r="232" ht="15.75" customHeight="1" s="57"/>
    <row r="233" ht="15.75" customHeight="1" s="57"/>
    <row r="234" ht="15.75" customHeight="1" s="57"/>
    <row r="235" ht="15.75" customHeight="1" s="57"/>
    <row r="236" ht="15.75" customHeight="1" s="57"/>
    <row r="237" ht="15.75" customHeight="1" s="57"/>
    <row r="238" ht="15.75" customHeight="1" s="57"/>
    <row r="239" ht="15.75" customHeight="1" s="57"/>
    <row r="240" ht="15.75" customHeight="1" s="57"/>
    <row r="241" ht="15.75" customHeight="1" s="57"/>
    <row r="242" ht="15.75" customHeight="1" s="57"/>
    <row r="243" ht="15.75" customHeight="1" s="57"/>
    <row r="244" ht="15.75" customHeight="1" s="57"/>
    <row r="245" ht="15.75" customHeight="1" s="57"/>
    <row r="246" ht="15.75" customHeight="1" s="57"/>
    <row r="247" ht="15.75" customHeight="1" s="57"/>
    <row r="248" ht="15.75" customHeight="1" s="57"/>
    <row r="249" ht="15.75" customHeight="1" s="57"/>
    <row r="250" ht="15.75" customHeight="1" s="57"/>
    <row r="251" ht="15.75" customHeight="1" s="57"/>
    <row r="252" ht="15.75" customHeight="1" s="57"/>
    <row r="253" ht="15.75" customHeight="1" s="57"/>
    <row r="254" ht="15.75" customHeight="1" s="57"/>
    <row r="255" ht="15.75" customHeight="1" s="57"/>
    <row r="256" ht="15.75" customHeight="1" s="57"/>
    <row r="257" ht="15.75" customHeight="1" s="57"/>
    <row r="258" ht="15.75" customHeight="1" s="57"/>
    <row r="259" ht="15.75" customHeight="1" s="57"/>
    <row r="260" ht="15.75" customHeight="1" s="57"/>
    <row r="261" ht="15.75" customHeight="1" s="57"/>
    <row r="262" ht="15.75" customHeight="1" s="57"/>
    <row r="263" ht="15.75" customHeight="1" s="57"/>
    <row r="264" ht="15.75" customHeight="1" s="57"/>
    <row r="265" ht="15.75" customHeight="1" s="57"/>
    <row r="266" ht="15.75" customHeight="1" s="57"/>
    <row r="267" ht="15.75" customHeight="1" s="57"/>
    <row r="268" ht="15.75" customHeight="1" s="57"/>
    <row r="269" ht="15.75" customHeight="1" s="57"/>
    <row r="270" ht="15.75" customHeight="1" s="57"/>
    <row r="271" ht="15.75" customHeight="1" s="57"/>
    <row r="272" ht="15.75" customHeight="1" s="57"/>
    <row r="273" ht="15.75" customHeight="1" s="57"/>
    <row r="274" ht="15.75" customHeight="1" s="57"/>
    <row r="275" ht="15.75" customHeight="1" s="57"/>
    <row r="276" ht="15.75" customHeight="1" s="57"/>
    <row r="277" ht="15.75" customHeight="1" s="57"/>
    <row r="278" ht="15.75" customHeight="1" s="57"/>
    <row r="279" ht="15.75" customHeight="1" s="57"/>
    <row r="280" ht="15.75" customHeight="1" s="57"/>
    <row r="281" ht="15.75" customHeight="1" s="57"/>
    <row r="282" ht="15.75" customHeight="1" s="57"/>
    <row r="283" ht="15.75" customHeight="1" s="57"/>
    <row r="284" ht="15.75" customHeight="1" s="57"/>
    <row r="285" ht="15.75" customHeight="1" s="57"/>
    <row r="286" ht="15.75" customHeight="1" s="57"/>
    <row r="287" ht="15.75" customHeight="1" s="57"/>
    <row r="288" ht="15.75" customHeight="1" s="57"/>
    <row r="289" ht="15.75" customHeight="1" s="57"/>
    <row r="290" ht="15.75" customHeight="1" s="57"/>
    <row r="291" ht="15.75" customHeight="1" s="57"/>
    <row r="292" ht="15.75" customHeight="1" s="57"/>
    <row r="293" ht="15.75" customHeight="1" s="57"/>
    <row r="294" ht="15.75" customHeight="1" s="57"/>
    <row r="295" ht="15.75" customHeight="1" s="57"/>
    <row r="296" ht="15.75" customHeight="1" s="57"/>
    <row r="297" ht="15.75" customHeight="1" s="57"/>
    <row r="298" ht="15.75" customHeight="1" s="57"/>
    <row r="299" ht="15.75" customHeight="1" s="57"/>
    <row r="300" ht="15.75" customHeight="1" s="57"/>
    <row r="301" ht="15.75" customHeight="1" s="57"/>
    <row r="302" ht="15.75" customHeight="1" s="57"/>
    <row r="303" ht="15.75" customHeight="1" s="57"/>
    <row r="304" ht="15.75" customHeight="1" s="57"/>
    <row r="305" ht="15.75" customHeight="1" s="57"/>
    <row r="306" ht="15.75" customHeight="1" s="57"/>
    <row r="307" ht="15.75" customHeight="1" s="57"/>
    <row r="308" ht="15.75" customHeight="1" s="57"/>
    <row r="309" ht="15.75" customHeight="1" s="57"/>
    <row r="310" ht="15.75" customHeight="1" s="57"/>
    <row r="311" ht="15.75" customHeight="1" s="57"/>
    <row r="312" ht="15.75" customHeight="1" s="57"/>
    <row r="313" ht="15.75" customHeight="1" s="57"/>
    <row r="314" ht="15.75" customHeight="1" s="57"/>
    <row r="315" ht="15.75" customHeight="1" s="57"/>
    <row r="316" ht="15.75" customHeight="1" s="57"/>
    <row r="317" ht="15.75" customHeight="1" s="57"/>
    <row r="318" ht="15.75" customHeight="1" s="57"/>
    <row r="319" ht="15.75" customHeight="1" s="57"/>
    <row r="320" ht="15.75" customHeight="1" s="57"/>
    <row r="321" ht="15.75" customHeight="1" s="57"/>
    <row r="322" ht="15.75" customHeight="1" s="57"/>
    <row r="323" ht="15.75" customHeight="1" s="57"/>
    <row r="324" ht="15.75" customHeight="1" s="57"/>
    <row r="325" ht="15.75" customHeight="1" s="57"/>
    <row r="326" ht="15.75" customHeight="1" s="57"/>
    <row r="327" ht="15.75" customHeight="1" s="57"/>
    <row r="328" ht="15.75" customHeight="1" s="57"/>
    <row r="329" ht="15.75" customHeight="1" s="57"/>
    <row r="330" ht="15.75" customHeight="1" s="57"/>
    <row r="331" ht="15.75" customHeight="1" s="57"/>
    <row r="332" ht="15.75" customHeight="1" s="57"/>
    <row r="333" ht="15.75" customHeight="1" s="57"/>
    <row r="334" ht="15.75" customHeight="1" s="57"/>
    <row r="335" ht="15.75" customHeight="1" s="57"/>
    <row r="336" ht="15.75" customHeight="1" s="57"/>
    <row r="337" ht="15.75" customHeight="1" s="57"/>
    <row r="338" ht="15.75" customHeight="1" s="57"/>
    <row r="339" ht="15.75" customHeight="1" s="57"/>
    <row r="340" ht="15.75" customHeight="1" s="57"/>
    <row r="341" ht="15.75" customHeight="1" s="57"/>
    <row r="342" ht="15.75" customHeight="1" s="57"/>
    <row r="343" ht="15.75" customHeight="1" s="57"/>
    <row r="344" ht="15.75" customHeight="1" s="57"/>
    <row r="345" ht="15.75" customHeight="1" s="57"/>
    <row r="346" ht="15.75" customHeight="1" s="57"/>
    <row r="347" ht="15.75" customHeight="1" s="57"/>
    <row r="348" ht="15.75" customHeight="1" s="57"/>
    <row r="349" ht="15.75" customHeight="1" s="57"/>
    <row r="350" ht="15.75" customHeight="1" s="57"/>
    <row r="351" ht="15.75" customHeight="1" s="57"/>
    <row r="352" ht="15.75" customHeight="1" s="57"/>
    <row r="353" ht="15.75" customHeight="1" s="57"/>
    <row r="354" ht="15.75" customHeight="1" s="57"/>
    <row r="355" ht="15.75" customHeight="1" s="57"/>
    <row r="356" ht="15.75" customHeight="1" s="57"/>
    <row r="357" ht="15.75" customHeight="1" s="57"/>
    <row r="358" ht="15.75" customHeight="1" s="57"/>
    <row r="359" ht="15.75" customHeight="1" s="57"/>
    <row r="360" ht="15.75" customHeight="1" s="57"/>
    <row r="361" ht="15.75" customHeight="1" s="57"/>
    <row r="362" ht="15.75" customHeight="1" s="57"/>
    <row r="363" ht="15.75" customHeight="1" s="57"/>
    <row r="364" ht="15.75" customHeight="1" s="57"/>
    <row r="365" ht="15.75" customHeight="1" s="57"/>
    <row r="366" ht="15.75" customHeight="1" s="57"/>
    <row r="367" ht="15.75" customHeight="1" s="57"/>
    <row r="368" ht="15.75" customHeight="1" s="57"/>
    <row r="369" ht="15.75" customHeight="1" s="57"/>
    <row r="370" ht="15.75" customHeight="1" s="57"/>
    <row r="371" ht="15.75" customHeight="1" s="57"/>
    <row r="372" ht="15.75" customHeight="1" s="57"/>
    <row r="373" ht="15.75" customHeight="1" s="57"/>
    <row r="374" ht="15.75" customHeight="1" s="57"/>
    <row r="375" ht="15.75" customHeight="1" s="57"/>
    <row r="376" ht="15.75" customHeight="1" s="57"/>
    <row r="377" ht="15.75" customHeight="1" s="57"/>
    <row r="378" ht="15.75" customHeight="1" s="57"/>
    <row r="379" ht="15.75" customHeight="1" s="57"/>
    <row r="380" ht="15.75" customHeight="1" s="57"/>
    <row r="381" ht="15.75" customHeight="1" s="57"/>
    <row r="382" ht="15.75" customHeight="1" s="57"/>
    <row r="383" ht="15.75" customHeight="1" s="57"/>
    <row r="384" ht="15.75" customHeight="1" s="57"/>
    <row r="385" ht="15.75" customHeight="1" s="57"/>
    <row r="386" ht="15.75" customHeight="1" s="57"/>
    <row r="387" ht="15.75" customHeight="1" s="57"/>
    <row r="388" ht="15.75" customHeight="1" s="57"/>
    <row r="389" ht="15.75" customHeight="1" s="57"/>
    <row r="390" ht="15.75" customHeight="1" s="57"/>
    <row r="391" ht="15.75" customHeight="1" s="57"/>
    <row r="392" ht="15.75" customHeight="1" s="57"/>
    <row r="393" ht="15.75" customHeight="1" s="57"/>
    <row r="394" ht="15.75" customHeight="1" s="57"/>
    <row r="395" ht="15.75" customHeight="1" s="57"/>
    <row r="396" ht="15.75" customHeight="1" s="57"/>
    <row r="397" ht="15.75" customHeight="1" s="57"/>
    <row r="398" ht="15.75" customHeight="1" s="57"/>
    <row r="399" ht="15.75" customHeight="1" s="57"/>
    <row r="400" ht="15.75" customHeight="1" s="57"/>
    <row r="401" ht="15.75" customHeight="1" s="57"/>
    <row r="402" ht="15.75" customHeight="1" s="57"/>
    <row r="403" ht="15.75" customHeight="1" s="57"/>
    <row r="404" ht="15.75" customHeight="1" s="57"/>
    <row r="405" ht="15.75" customHeight="1" s="57"/>
    <row r="406" ht="15.75" customHeight="1" s="57"/>
    <row r="407" ht="15.75" customHeight="1" s="57"/>
    <row r="408" ht="15.75" customHeight="1" s="57"/>
    <row r="409" ht="15.75" customHeight="1" s="57"/>
    <row r="410" ht="15.75" customHeight="1" s="57"/>
    <row r="411" ht="15.75" customHeight="1" s="57"/>
    <row r="412" ht="15.75" customHeight="1" s="57"/>
    <row r="413" ht="15.75" customHeight="1" s="57"/>
    <row r="414" ht="15.75" customHeight="1" s="57"/>
    <row r="415" ht="15.75" customHeight="1" s="57"/>
    <row r="416" ht="15.75" customHeight="1" s="57"/>
    <row r="417" ht="15.75" customHeight="1" s="57"/>
    <row r="418" ht="15.75" customHeight="1" s="57"/>
    <row r="419" ht="15.75" customHeight="1" s="57"/>
    <row r="420" ht="15.75" customHeight="1" s="57"/>
    <row r="421" ht="15.75" customHeight="1" s="57"/>
    <row r="422" ht="15.75" customHeight="1" s="57"/>
    <row r="423" ht="15.75" customHeight="1" s="57"/>
    <row r="424" ht="15.75" customHeight="1" s="57"/>
    <row r="425" ht="15.75" customHeight="1" s="57"/>
    <row r="426" ht="15.75" customHeight="1" s="57"/>
    <row r="427" ht="15.75" customHeight="1" s="57"/>
    <row r="428" ht="15.75" customHeight="1" s="57"/>
    <row r="429" ht="15.75" customHeight="1" s="57"/>
    <row r="430" ht="15.75" customHeight="1" s="57"/>
    <row r="431" ht="15.75" customHeight="1" s="57"/>
    <row r="432" ht="15.75" customHeight="1" s="57"/>
    <row r="433" ht="15.75" customHeight="1" s="57"/>
    <row r="434" ht="15.75" customHeight="1" s="57"/>
    <row r="435" ht="15.75" customHeight="1" s="57"/>
    <row r="436" ht="15.75" customHeight="1" s="57"/>
    <row r="437" ht="15.75" customHeight="1" s="57"/>
    <row r="438" ht="15.75" customHeight="1" s="57"/>
    <row r="439" ht="15.75" customHeight="1" s="57"/>
    <row r="440" ht="15.75" customHeight="1" s="57"/>
    <row r="441" ht="15.75" customHeight="1" s="57"/>
    <row r="442" ht="15.75" customHeight="1" s="57"/>
    <row r="443" ht="15.75" customHeight="1" s="57"/>
    <row r="444" ht="15.75" customHeight="1" s="57"/>
    <row r="445" ht="15.75" customHeight="1" s="57"/>
    <row r="446" ht="15.75" customHeight="1" s="57"/>
    <row r="447" ht="15.75" customHeight="1" s="57"/>
    <row r="448" ht="15.75" customHeight="1" s="57"/>
    <row r="449" ht="15.75" customHeight="1" s="57"/>
    <row r="450" ht="15.75" customHeight="1" s="57"/>
    <row r="451" ht="15.75" customHeight="1" s="57"/>
    <row r="452" ht="15.75" customHeight="1" s="57"/>
    <row r="453" ht="15.75" customHeight="1" s="57"/>
    <row r="454" ht="15.75" customHeight="1" s="57"/>
    <row r="455" ht="15.75" customHeight="1" s="57"/>
    <row r="456" ht="15.75" customHeight="1" s="57"/>
    <row r="457" ht="15.75" customHeight="1" s="57"/>
    <row r="458" ht="15.75" customHeight="1" s="57"/>
    <row r="459" ht="15.75" customHeight="1" s="57"/>
    <row r="460" ht="15.75" customHeight="1" s="57"/>
    <row r="461" ht="15.75" customHeight="1" s="57"/>
    <row r="462" ht="15.75" customHeight="1" s="57"/>
    <row r="463" ht="15.75" customHeight="1" s="57"/>
    <row r="464" ht="15.75" customHeight="1" s="57"/>
    <row r="465" ht="15.75" customHeight="1" s="57"/>
    <row r="466" ht="15.75" customHeight="1" s="57"/>
    <row r="467" ht="15.75" customHeight="1" s="57"/>
    <row r="468" ht="15.75" customHeight="1" s="57"/>
    <row r="469" ht="15.75" customHeight="1" s="57"/>
    <row r="470" ht="15.75" customHeight="1" s="57"/>
    <row r="471" ht="15.75" customHeight="1" s="57"/>
    <row r="472" ht="15.75" customHeight="1" s="57"/>
    <row r="473" ht="15.75" customHeight="1" s="57"/>
    <row r="474" ht="15.75" customHeight="1" s="57"/>
    <row r="475" ht="15.75" customHeight="1" s="57"/>
    <row r="476" ht="15.75" customHeight="1" s="57"/>
    <row r="477" ht="15.75" customHeight="1" s="57"/>
    <row r="478" ht="15.75" customHeight="1" s="57"/>
    <row r="479" ht="15.75" customHeight="1" s="57"/>
    <row r="480" ht="15.75" customHeight="1" s="57"/>
    <row r="481" ht="15.75" customHeight="1" s="57"/>
    <row r="482" ht="15.75" customHeight="1" s="57"/>
    <row r="483" ht="15.75" customHeight="1" s="57"/>
    <row r="484" ht="15.75" customHeight="1" s="57"/>
    <row r="485" ht="15.75" customHeight="1" s="57"/>
    <row r="486" ht="15.75" customHeight="1" s="57"/>
    <row r="487" ht="15.75" customHeight="1" s="57"/>
    <row r="488" ht="15.75" customHeight="1" s="57"/>
    <row r="489" ht="15.75" customHeight="1" s="57"/>
    <row r="490" ht="15.75" customHeight="1" s="57"/>
    <row r="491" ht="15.75" customHeight="1" s="57"/>
    <row r="492" ht="15.75" customHeight="1" s="57"/>
    <row r="493" ht="15.75" customHeight="1" s="57"/>
    <row r="494" ht="15.75" customHeight="1" s="57"/>
    <row r="495" ht="15.75" customHeight="1" s="57"/>
    <row r="496" ht="15.75" customHeight="1" s="57"/>
    <row r="497" ht="15.75" customHeight="1" s="57"/>
    <row r="498" ht="15.75" customHeight="1" s="57"/>
    <row r="499" ht="15.75" customHeight="1" s="57"/>
    <row r="500" ht="15.75" customHeight="1" s="57"/>
    <row r="501" ht="15.75" customHeight="1" s="57"/>
    <row r="502" ht="15.75" customHeight="1" s="57"/>
    <row r="503" ht="15.75" customHeight="1" s="57"/>
    <row r="504" ht="15.75" customHeight="1" s="57"/>
    <row r="505" ht="15.75" customHeight="1" s="57"/>
    <row r="506" ht="15.75" customHeight="1" s="57"/>
    <row r="507" ht="15.75" customHeight="1" s="57"/>
    <row r="508" ht="15.75" customHeight="1" s="57"/>
    <row r="509" ht="15.75" customHeight="1" s="57"/>
    <row r="510" ht="15.75" customHeight="1" s="57"/>
    <row r="511" ht="15.75" customHeight="1" s="57"/>
    <row r="512" ht="15.75" customHeight="1" s="57"/>
    <row r="513" ht="15.75" customHeight="1" s="57"/>
    <row r="514" ht="15.75" customHeight="1" s="57"/>
    <row r="515" ht="15.75" customHeight="1" s="57"/>
    <row r="516" ht="15.75" customHeight="1" s="57"/>
    <row r="517" ht="15.75" customHeight="1" s="57"/>
    <row r="518" ht="15.75" customHeight="1" s="57"/>
    <row r="519" ht="15.75" customHeight="1" s="57"/>
    <row r="520" ht="15.75" customHeight="1" s="57"/>
    <row r="521" ht="15.75" customHeight="1" s="57"/>
    <row r="522" ht="15.75" customHeight="1" s="57"/>
    <row r="523" ht="15.75" customHeight="1" s="57"/>
    <row r="524" ht="15.75" customHeight="1" s="57"/>
    <row r="525" ht="15.75" customHeight="1" s="57"/>
    <row r="526" ht="15.75" customHeight="1" s="57"/>
    <row r="527" ht="15.75" customHeight="1" s="57"/>
    <row r="528" ht="15.75" customHeight="1" s="57"/>
    <row r="529" ht="15.75" customHeight="1" s="57"/>
    <row r="530" ht="15.75" customHeight="1" s="57"/>
    <row r="531" ht="15.75" customHeight="1" s="57"/>
    <row r="532" ht="15.75" customHeight="1" s="57"/>
    <row r="533" ht="15.75" customHeight="1" s="57"/>
    <row r="534" ht="15.75" customHeight="1" s="57"/>
    <row r="535" ht="15.75" customHeight="1" s="57"/>
    <row r="536" ht="15.75" customHeight="1" s="57"/>
    <row r="537" ht="15.75" customHeight="1" s="57"/>
    <row r="538" ht="15.75" customHeight="1" s="57"/>
    <row r="539" ht="15.75" customHeight="1" s="57"/>
    <row r="540" ht="15.75" customHeight="1" s="57"/>
    <row r="541" ht="15.75" customHeight="1" s="57"/>
    <row r="542" ht="15.75" customHeight="1" s="57"/>
    <row r="543" ht="15.75" customHeight="1" s="57"/>
    <row r="544" ht="15.75" customHeight="1" s="57"/>
    <row r="545" ht="15.75" customHeight="1" s="57"/>
    <row r="546" ht="15.75" customHeight="1" s="57"/>
    <row r="547" ht="15.75" customHeight="1" s="57"/>
    <row r="548" ht="15.75" customHeight="1" s="57"/>
    <row r="549" ht="15.75" customHeight="1" s="57"/>
    <row r="550" ht="15.75" customHeight="1" s="57"/>
    <row r="551" ht="15.75" customHeight="1" s="57"/>
    <row r="552" ht="15.75" customHeight="1" s="57"/>
    <row r="553" ht="15.75" customHeight="1" s="57"/>
    <row r="554" ht="15.75" customHeight="1" s="57"/>
    <row r="555" ht="15.75" customHeight="1" s="57"/>
    <row r="556" ht="15.75" customHeight="1" s="57"/>
    <row r="557" ht="15.75" customHeight="1" s="57"/>
    <row r="558" ht="15.75" customHeight="1" s="57"/>
    <row r="559" ht="15.75" customHeight="1" s="57"/>
    <row r="560" ht="15.75" customHeight="1" s="57"/>
    <row r="561" ht="15.75" customHeight="1" s="57"/>
    <row r="562" ht="15.75" customHeight="1" s="57"/>
    <row r="563" ht="15.75" customHeight="1" s="57"/>
    <row r="564" ht="15.75" customHeight="1" s="57"/>
    <row r="565" ht="15.75" customHeight="1" s="57"/>
    <row r="566" ht="15.75" customHeight="1" s="57"/>
    <row r="567" ht="15.75" customHeight="1" s="57"/>
    <row r="568" ht="15.75" customHeight="1" s="57"/>
    <row r="569" ht="15.75" customHeight="1" s="57"/>
    <row r="570" ht="15.75" customHeight="1" s="57"/>
    <row r="571" ht="15.75" customHeight="1" s="57"/>
    <row r="572" ht="15.75" customHeight="1" s="57"/>
    <row r="573" ht="15.75" customHeight="1" s="57"/>
    <row r="574" ht="15.75" customHeight="1" s="57"/>
    <row r="575" ht="15.75" customHeight="1" s="57"/>
    <row r="576" ht="15.75" customHeight="1" s="57"/>
    <row r="577" ht="15.75" customHeight="1" s="57"/>
    <row r="578" ht="15.75" customHeight="1" s="57"/>
    <row r="579" ht="15.75" customHeight="1" s="57"/>
    <row r="580" ht="15.75" customHeight="1" s="57"/>
    <row r="581" ht="15.75" customHeight="1" s="57"/>
    <row r="582" ht="15.75" customHeight="1" s="57"/>
    <row r="583" ht="15.75" customHeight="1" s="57"/>
    <row r="584" ht="15.75" customHeight="1" s="57"/>
    <row r="585" ht="15.75" customHeight="1" s="57"/>
    <row r="586" ht="15.75" customHeight="1" s="57"/>
    <row r="587" ht="15.75" customHeight="1" s="57"/>
    <row r="588" ht="15.75" customHeight="1" s="57"/>
    <row r="589" ht="15.75" customHeight="1" s="57"/>
    <row r="590" ht="15.75" customHeight="1" s="57"/>
    <row r="591" ht="15.75" customHeight="1" s="57"/>
    <row r="592" ht="15.75" customHeight="1" s="57"/>
    <row r="593" ht="15.75" customHeight="1" s="57"/>
    <row r="594" ht="15.75" customHeight="1" s="57"/>
    <row r="595" ht="15.75" customHeight="1" s="57"/>
    <row r="596" ht="15.75" customHeight="1" s="57"/>
    <row r="597" ht="15.75" customHeight="1" s="57"/>
    <row r="598" ht="15.75" customHeight="1" s="57"/>
    <row r="599" ht="15.75" customHeight="1" s="57"/>
    <row r="600" ht="15.75" customHeight="1" s="57"/>
    <row r="601" ht="15.75" customHeight="1" s="57"/>
    <row r="602" ht="15.75" customHeight="1" s="57"/>
    <row r="603" ht="15.75" customHeight="1" s="57"/>
    <row r="604" ht="15.75" customHeight="1" s="57"/>
    <row r="605" ht="15.75" customHeight="1" s="57"/>
    <row r="606" ht="15.75" customHeight="1" s="57"/>
    <row r="607" ht="15.75" customHeight="1" s="57"/>
    <row r="608" ht="15.75" customHeight="1" s="57"/>
    <row r="609" ht="15.75" customHeight="1" s="57"/>
    <row r="610" ht="15.75" customHeight="1" s="57"/>
    <row r="611" ht="15.75" customHeight="1" s="57"/>
    <row r="612" ht="15.75" customHeight="1" s="57"/>
    <row r="613" ht="15.75" customHeight="1" s="57"/>
    <row r="614" ht="15.75" customHeight="1" s="57"/>
    <row r="615" ht="15.75" customHeight="1" s="57"/>
    <row r="616" ht="15.75" customHeight="1" s="57"/>
    <row r="617" ht="15.75" customHeight="1" s="57"/>
    <row r="618" ht="15.75" customHeight="1" s="57"/>
    <row r="619" ht="15.75" customHeight="1" s="57"/>
    <row r="620" ht="15.75" customHeight="1" s="57"/>
    <row r="621" ht="15.75" customHeight="1" s="57"/>
    <row r="622" ht="15.75" customHeight="1" s="57"/>
    <row r="623" ht="15.75" customHeight="1" s="57"/>
    <row r="624" ht="15.75" customHeight="1" s="57"/>
    <row r="625" ht="15.75" customHeight="1" s="57"/>
    <row r="626" ht="15.75" customHeight="1" s="57"/>
    <row r="627" ht="15.75" customHeight="1" s="57"/>
    <row r="628" ht="15.75" customHeight="1" s="57"/>
    <row r="629" ht="15.75" customHeight="1" s="57"/>
    <row r="630" ht="15.75" customHeight="1" s="57"/>
    <row r="631" ht="15.75" customHeight="1" s="57"/>
    <row r="632" ht="15.75" customHeight="1" s="57"/>
    <row r="633" ht="15.75" customHeight="1" s="57"/>
    <row r="634" ht="15.75" customHeight="1" s="57"/>
    <row r="635" ht="15.75" customHeight="1" s="57"/>
    <row r="636" ht="15.75" customHeight="1" s="57"/>
    <row r="637" ht="15.75" customHeight="1" s="57"/>
    <row r="638" ht="15.75" customHeight="1" s="57"/>
    <row r="639" ht="15.75" customHeight="1" s="57"/>
    <row r="640" ht="15.75" customHeight="1" s="57"/>
    <row r="641" ht="15.75" customHeight="1" s="57"/>
    <row r="642" ht="15.75" customHeight="1" s="57"/>
    <row r="643" ht="15.75" customHeight="1" s="57"/>
    <row r="644" ht="15.75" customHeight="1" s="57"/>
    <row r="645" ht="15.75" customHeight="1" s="57"/>
    <row r="646" ht="15.75" customHeight="1" s="57"/>
    <row r="647" ht="15.75" customHeight="1" s="57"/>
    <row r="648" ht="15.75" customHeight="1" s="57"/>
    <row r="649" ht="15.75" customHeight="1" s="57"/>
    <row r="650" ht="15.75" customHeight="1" s="57"/>
    <row r="651" ht="15.75" customHeight="1" s="57"/>
    <row r="652" ht="15.75" customHeight="1" s="57"/>
    <row r="653" ht="15.75" customHeight="1" s="57"/>
    <row r="654" ht="15.75" customHeight="1" s="57"/>
    <row r="655" ht="15.75" customHeight="1" s="57"/>
    <row r="656" ht="15.75" customHeight="1" s="57"/>
    <row r="657" ht="15.75" customHeight="1" s="57"/>
    <row r="658" ht="15.75" customHeight="1" s="57"/>
    <row r="659" ht="15.75" customHeight="1" s="57"/>
    <row r="660" ht="15.75" customHeight="1" s="57"/>
    <row r="661" ht="15.75" customHeight="1" s="57"/>
    <row r="662" ht="15.75" customHeight="1" s="57"/>
    <row r="663" ht="15.75" customHeight="1" s="57"/>
    <row r="664" ht="15.75" customHeight="1" s="57"/>
    <row r="665" ht="15.75" customHeight="1" s="57"/>
    <row r="666" ht="15.75" customHeight="1" s="57"/>
    <row r="667" ht="15.75" customHeight="1" s="57"/>
    <row r="668" ht="15.75" customHeight="1" s="57"/>
    <row r="669" ht="15.75" customHeight="1" s="57"/>
    <row r="670" ht="15.75" customHeight="1" s="57"/>
    <row r="671" ht="15.75" customHeight="1" s="57"/>
    <row r="672" ht="15.75" customHeight="1" s="57"/>
    <row r="673" ht="15.75" customHeight="1" s="57"/>
    <row r="674" ht="15.75" customHeight="1" s="57"/>
    <row r="675" ht="15.75" customHeight="1" s="57"/>
    <row r="676" ht="15.75" customHeight="1" s="57"/>
    <row r="677" ht="15.75" customHeight="1" s="57"/>
    <row r="678" ht="15.75" customHeight="1" s="57"/>
    <row r="679" ht="15.75" customHeight="1" s="57"/>
    <row r="680" ht="15.75" customHeight="1" s="57"/>
    <row r="681" ht="15.75" customHeight="1" s="57"/>
    <row r="682" ht="15.75" customHeight="1" s="57"/>
    <row r="683" ht="15.75" customHeight="1" s="57"/>
    <row r="684" ht="15.75" customHeight="1" s="57"/>
    <row r="685" ht="15.75" customHeight="1" s="57"/>
    <row r="686" ht="15.75" customHeight="1" s="57"/>
    <row r="687" ht="15.75" customHeight="1" s="57"/>
    <row r="688" ht="15.75" customHeight="1" s="57"/>
    <row r="689" ht="15.75" customHeight="1" s="57"/>
    <row r="690" ht="15.75" customHeight="1" s="57"/>
    <row r="691" ht="15.75" customHeight="1" s="57"/>
    <row r="692" ht="15.75" customHeight="1" s="57"/>
    <row r="693" ht="15.75" customHeight="1" s="57"/>
    <row r="694" ht="15.75" customHeight="1" s="57"/>
    <row r="695" ht="15.75" customHeight="1" s="57"/>
    <row r="696" ht="15.75" customHeight="1" s="57"/>
    <row r="697" ht="15.75" customHeight="1" s="57"/>
    <row r="698" ht="15.75" customHeight="1" s="57"/>
    <row r="699" ht="15.75" customHeight="1" s="57"/>
    <row r="700" ht="15.75" customHeight="1" s="57"/>
    <row r="701" ht="15.75" customHeight="1" s="57"/>
    <row r="702" ht="15.75" customHeight="1" s="57"/>
    <row r="703" ht="15.75" customHeight="1" s="57"/>
    <row r="704" ht="15.75" customHeight="1" s="57"/>
    <row r="705" ht="15.75" customHeight="1" s="57"/>
    <row r="706" ht="15.75" customHeight="1" s="57"/>
    <row r="707" ht="15.75" customHeight="1" s="57"/>
    <row r="708" ht="15.75" customHeight="1" s="57"/>
    <row r="709" ht="15.75" customHeight="1" s="57"/>
    <row r="710" ht="15.75" customHeight="1" s="57"/>
    <row r="711" ht="15.75" customHeight="1" s="57"/>
    <row r="712" ht="15.75" customHeight="1" s="57"/>
    <row r="713" ht="15.75" customHeight="1" s="57"/>
    <row r="714" ht="15.75" customHeight="1" s="57"/>
    <row r="715" ht="15.75" customHeight="1" s="57"/>
    <row r="716" ht="15.75" customHeight="1" s="57"/>
    <row r="717" ht="15.75" customHeight="1" s="57"/>
    <row r="718" ht="15.75" customHeight="1" s="57"/>
    <row r="719" ht="15.75" customHeight="1" s="57"/>
    <row r="720" ht="15.75" customHeight="1" s="57"/>
    <row r="721" ht="15.75" customHeight="1" s="57"/>
    <row r="722" ht="15.75" customHeight="1" s="57"/>
    <row r="723" ht="15.75" customHeight="1" s="57"/>
    <row r="724" ht="15.75" customHeight="1" s="57"/>
    <row r="725" ht="15.75" customHeight="1" s="57"/>
    <row r="726" ht="15.75" customHeight="1" s="57"/>
    <row r="727" ht="15.75" customHeight="1" s="57"/>
    <row r="728" ht="15.75" customHeight="1" s="57"/>
    <row r="729" ht="15.75" customHeight="1" s="57"/>
    <row r="730" ht="15.75" customHeight="1" s="57"/>
    <row r="731" ht="15.75" customHeight="1" s="57"/>
    <row r="732" ht="15.75" customHeight="1" s="57"/>
    <row r="733" ht="15.75" customHeight="1" s="57"/>
    <row r="734" ht="15.75" customHeight="1" s="57"/>
    <row r="735" ht="15.75" customHeight="1" s="57"/>
    <row r="736" ht="15.75" customHeight="1" s="57"/>
    <row r="737" ht="15.75" customHeight="1" s="57"/>
    <row r="738" ht="15.75" customHeight="1" s="57"/>
    <row r="739" ht="15.75" customHeight="1" s="57"/>
    <row r="740" ht="15.75" customHeight="1" s="57"/>
    <row r="741" ht="15.75" customHeight="1" s="57"/>
    <row r="742" ht="15.75" customHeight="1" s="57"/>
    <row r="743" ht="15.75" customHeight="1" s="57"/>
    <row r="744" ht="15.75" customHeight="1" s="57"/>
    <row r="745" ht="15.75" customHeight="1" s="57"/>
    <row r="746" ht="15.75" customHeight="1" s="57"/>
    <row r="747" ht="15.75" customHeight="1" s="57"/>
    <row r="748" ht="15.75" customHeight="1" s="57"/>
    <row r="749" ht="15.75" customHeight="1" s="57"/>
    <row r="750" ht="15.75" customHeight="1" s="57"/>
    <row r="751" ht="15.75" customHeight="1" s="57"/>
    <row r="752" ht="15.75" customHeight="1" s="57"/>
    <row r="753" ht="15.75" customHeight="1" s="57"/>
    <row r="754" ht="15.75" customHeight="1" s="57"/>
    <row r="755" ht="15.75" customHeight="1" s="57"/>
    <row r="756" ht="15.75" customHeight="1" s="57"/>
    <row r="757" ht="15.75" customHeight="1" s="57"/>
    <row r="758" ht="15.75" customHeight="1" s="57"/>
    <row r="759" ht="15.75" customHeight="1" s="57"/>
    <row r="760" ht="15.75" customHeight="1" s="57"/>
    <row r="761" ht="15.75" customHeight="1" s="57"/>
    <row r="762" ht="15.75" customHeight="1" s="57"/>
    <row r="763" ht="15.75" customHeight="1" s="57"/>
    <row r="764" ht="15.75" customHeight="1" s="57"/>
    <row r="765" ht="15.75" customHeight="1" s="57"/>
    <row r="766" ht="15.75" customHeight="1" s="57"/>
    <row r="767" ht="15.75" customHeight="1" s="57"/>
    <row r="768" ht="15.75" customHeight="1" s="57"/>
    <row r="769" ht="15.75" customHeight="1" s="57"/>
    <row r="770" ht="15.75" customHeight="1" s="57"/>
    <row r="771" ht="15.75" customHeight="1" s="57"/>
    <row r="772" ht="15.75" customHeight="1" s="57"/>
    <row r="773" ht="15.75" customHeight="1" s="57"/>
    <row r="774" ht="15.75" customHeight="1" s="57"/>
    <row r="775" ht="15.75" customHeight="1" s="57"/>
    <row r="776" ht="15.75" customHeight="1" s="57"/>
    <row r="777" ht="15.75" customHeight="1" s="57"/>
    <row r="778" ht="15.75" customHeight="1" s="57"/>
    <row r="779" ht="15.75" customHeight="1" s="57"/>
    <row r="780" ht="15.75" customHeight="1" s="57"/>
    <row r="781" ht="15.75" customHeight="1" s="57"/>
    <row r="782" ht="15.75" customHeight="1" s="57"/>
    <row r="783" ht="15.75" customHeight="1" s="57"/>
    <row r="784" ht="15.75" customHeight="1" s="57"/>
    <row r="785" ht="15.75" customHeight="1" s="57"/>
    <row r="786" ht="15.75" customHeight="1" s="57"/>
    <row r="787" ht="15.75" customHeight="1" s="57"/>
    <row r="788" ht="15.75" customHeight="1" s="57"/>
    <row r="789" ht="15.75" customHeight="1" s="57"/>
    <row r="790" ht="15.75" customHeight="1" s="57"/>
    <row r="791" ht="15.75" customHeight="1" s="57"/>
    <row r="792" ht="15.75" customHeight="1" s="57"/>
    <row r="793" ht="15.75" customHeight="1" s="57"/>
    <row r="794" ht="15.75" customHeight="1" s="57"/>
    <row r="795" ht="15.75" customHeight="1" s="57"/>
    <row r="796" ht="15.75" customHeight="1" s="57"/>
    <row r="797" ht="15.75" customHeight="1" s="57"/>
    <row r="798" ht="15.75" customHeight="1" s="57"/>
    <row r="799" ht="15.75" customHeight="1" s="57"/>
    <row r="800" ht="15.75" customHeight="1" s="57"/>
    <row r="801" ht="15.75" customHeight="1" s="57"/>
    <row r="802" ht="15.75" customHeight="1" s="57"/>
    <row r="803" ht="15.75" customHeight="1" s="57"/>
    <row r="804" ht="15.75" customHeight="1" s="57"/>
    <row r="805" ht="15.75" customHeight="1" s="57"/>
    <row r="806" ht="15.75" customHeight="1" s="57"/>
    <row r="807" ht="15.75" customHeight="1" s="57"/>
    <row r="808" ht="15.75" customHeight="1" s="57"/>
    <row r="809" ht="15.75" customHeight="1" s="57"/>
    <row r="810" ht="15.75" customHeight="1" s="57"/>
    <row r="811" ht="15.75" customHeight="1" s="57"/>
    <row r="812" ht="15.75" customHeight="1" s="57"/>
    <row r="813" ht="15.75" customHeight="1" s="57"/>
    <row r="814" ht="15.75" customHeight="1" s="57"/>
    <row r="815" ht="15.75" customHeight="1" s="57"/>
    <row r="816" ht="15.75" customHeight="1" s="57"/>
    <row r="817" ht="15.75" customHeight="1" s="57"/>
    <row r="818" ht="15.75" customHeight="1" s="57"/>
    <row r="819" ht="15.75" customHeight="1" s="57"/>
    <row r="820" ht="15.75" customHeight="1" s="57"/>
    <row r="821" ht="15.75" customHeight="1" s="57"/>
    <row r="822" ht="15.75" customHeight="1" s="57"/>
    <row r="823" ht="15.75" customHeight="1" s="57"/>
    <row r="824" ht="15.75" customHeight="1" s="57"/>
    <row r="825" ht="15.75" customHeight="1" s="57"/>
    <row r="826" ht="15.75" customHeight="1" s="57"/>
    <row r="827" ht="15.75" customHeight="1" s="57"/>
    <row r="828" ht="15.75" customHeight="1" s="57"/>
    <row r="829" ht="15.75" customHeight="1" s="57"/>
    <row r="830" ht="15.75" customHeight="1" s="57"/>
    <row r="831" ht="15.75" customHeight="1" s="57"/>
    <row r="832" ht="15.75" customHeight="1" s="57"/>
    <row r="833" ht="15.75" customHeight="1" s="57"/>
    <row r="834" ht="15.75" customHeight="1" s="57"/>
    <row r="835" ht="15.75" customHeight="1" s="57"/>
    <row r="836" ht="15.75" customHeight="1" s="57"/>
    <row r="837" ht="15.75" customHeight="1" s="57"/>
    <row r="838" ht="15.75" customHeight="1" s="57"/>
    <row r="839" ht="15.75" customHeight="1" s="57"/>
    <row r="840" ht="15.75" customHeight="1" s="57"/>
    <row r="841" ht="15.75" customHeight="1" s="57"/>
    <row r="842" ht="15.75" customHeight="1" s="57"/>
    <row r="843" ht="15.75" customHeight="1" s="57"/>
    <row r="844" ht="15.75" customHeight="1" s="57"/>
    <row r="845" ht="15.75" customHeight="1" s="57"/>
    <row r="846" ht="15.75" customHeight="1" s="57"/>
    <row r="847" ht="15.75" customHeight="1" s="57"/>
    <row r="848" ht="15.75" customHeight="1" s="57"/>
    <row r="849" ht="15.75" customHeight="1" s="57"/>
    <row r="850" ht="15.75" customHeight="1" s="57"/>
    <row r="851" ht="15.75" customHeight="1" s="57"/>
    <row r="852" ht="15.75" customHeight="1" s="57"/>
    <row r="853" ht="15.75" customHeight="1" s="57"/>
    <row r="854" ht="15.75" customHeight="1" s="57"/>
    <row r="855" ht="15.75" customHeight="1" s="57"/>
    <row r="856" ht="15.75" customHeight="1" s="57"/>
    <row r="857" ht="15.75" customHeight="1" s="57"/>
    <row r="858" ht="15.75" customHeight="1" s="57"/>
    <row r="859" ht="15.75" customHeight="1" s="57"/>
    <row r="860" ht="15.75" customHeight="1" s="57"/>
    <row r="861" ht="15.75" customHeight="1" s="57"/>
    <row r="862" ht="15.75" customHeight="1" s="57"/>
    <row r="863" ht="15.75" customHeight="1" s="57"/>
    <row r="864" ht="15.75" customHeight="1" s="57"/>
    <row r="865" ht="15.75" customHeight="1" s="57"/>
    <row r="866" ht="15.75" customHeight="1" s="57"/>
    <row r="867" ht="15.75" customHeight="1" s="57"/>
    <row r="868" ht="15.75" customHeight="1" s="57"/>
    <row r="869" ht="15.75" customHeight="1" s="57"/>
    <row r="870" ht="15.75" customHeight="1" s="57"/>
    <row r="871" ht="15.75" customHeight="1" s="57"/>
    <row r="872" ht="15.75" customHeight="1" s="57"/>
    <row r="873" ht="15.75" customHeight="1" s="57"/>
    <row r="874" ht="15.75" customHeight="1" s="57"/>
    <row r="875" ht="15.75" customHeight="1" s="57"/>
    <row r="876" ht="15.75" customHeight="1" s="57"/>
    <row r="877" ht="15.75" customHeight="1" s="57"/>
    <row r="878" ht="15.75" customHeight="1" s="57"/>
    <row r="879" ht="15.75" customHeight="1" s="57"/>
    <row r="880" ht="15.75" customHeight="1" s="57"/>
    <row r="881" ht="15.75" customHeight="1" s="57"/>
    <row r="882" ht="15.75" customHeight="1" s="57"/>
    <row r="883" ht="15.75" customHeight="1" s="57"/>
    <row r="884" ht="15.75" customHeight="1" s="57"/>
    <row r="885" ht="15.75" customHeight="1" s="57"/>
    <row r="886" ht="15.75" customHeight="1" s="57"/>
    <row r="887" ht="15.75" customHeight="1" s="57"/>
    <row r="888" ht="15.75" customHeight="1" s="57"/>
    <row r="889" ht="15.75" customHeight="1" s="57"/>
    <row r="890" ht="15.75" customHeight="1" s="57"/>
    <row r="891" ht="15.75" customHeight="1" s="57"/>
    <row r="892" ht="15.75" customHeight="1" s="57"/>
    <row r="893" ht="15.75" customHeight="1" s="57"/>
    <row r="894" ht="15.75" customHeight="1" s="57"/>
    <row r="895" ht="15.75" customHeight="1" s="57"/>
    <row r="896" ht="15.75" customHeight="1" s="57"/>
    <row r="897" ht="15.75" customHeight="1" s="57"/>
    <row r="898" ht="15.75" customHeight="1" s="57"/>
    <row r="899" ht="15.75" customHeight="1" s="57"/>
    <row r="900" ht="15.75" customHeight="1" s="57"/>
    <row r="901" ht="15.75" customHeight="1" s="57"/>
    <row r="902" ht="15.75" customHeight="1" s="57"/>
    <row r="903" ht="15.75" customHeight="1" s="57"/>
    <row r="904" ht="15.75" customHeight="1" s="57"/>
    <row r="905" ht="15.75" customHeight="1" s="57"/>
    <row r="906" ht="15.75" customHeight="1" s="57"/>
    <row r="907" ht="15.75" customHeight="1" s="57"/>
    <row r="908" ht="15.75" customHeight="1" s="57"/>
    <row r="909" ht="15.75" customHeight="1" s="57"/>
    <row r="910" ht="15.75" customHeight="1" s="57"/>
    <row r="911" ht="15.75" customHeight="1" s="57"/>
    <row r="912" ht="15.75" customHeight="1" s="57"/>
    <row r="913" ht="15.75" customHeight="1" s="57"/>
    <row r="914" ht="15.75" customHeight="1" s="57"/>
    <row r="915" ht="15.75" customHeight="1" s="57"/>
    <row r="916" ht="15.75" customHeight="1" s="57"/>
    <row r="917" ht="15.75" customHeight="1" s="57"/>
    <row r="918" ht="15.75" customHeight="1" s="57"/>
    <row r="919" ht="15.75" customHeight="1" s="57"/>
    <row r="920" ht="15.75" customHeight="1" s="57"/>
    <row r="921" ht="15.75" customHeight="1" s="57"/>
    <row r="922" ht="15.75" customHeight="1" s="57"/>
    <row r="923" ht="15.75" customHeight="1" s="57"/>
    <row r="924" ht="15.75" customHeight="1" s="57"/>
    <row r="925" ht="15.75" customHeight="1" s="57"/>
    <row r="926" ht="15.75" customHeight="1" s="57"/>
    <row r="927" ht="15.75" customHeight="1" s="57"/>
    <row r="928" ht="15.75" customHeight="1" s="57"/>
    <row r="929" ht="15.75" customHeight="1" s="57"/>
    <row r="930" ht="15.75" customHeight="1" s="57"/>
    <row r="931" ht="15.75" customHeight="1" s="57"/>
    <row r="932" ht="15.75" customHeight="1" s="57"/>
    <row r="933" ht="15.75" customHeight="1" s="57"/>
    <row r="934" ht="15.75" customHeight="1" s="57"/>
    <row r="935" ht="15.75" customHeight="1" s="57"/>
    <row r="936" ht="15.75" customHeight="1" s="57"/>
    <row r="937" ht="15.75" customHeight="1" s="57"/>
    <row r="938" ht="15.75" customHeight="1" s="57"/>
    <row r="939" ht="15.75" customHeight="1" s="57"/>
    <row r="940" ht="15.75" customHeight="1" s="57"/>
    <row r="941" ht="15.75" customHeight="1" s="57"/>
    <row r="942" ht="15.75" customHeight="1" s="57"/>
    <row r="943" ht="15.75" customHeight="1" s="57"/>
    <row r="944" ht="15.75" customHeight="1" s="57"/>
    <row r="945" ht="15.75" customHeight="1" s="57"/>
    <row r="946" ht="15.75" customHeight="1" s="57"/>
    <row r="947" ht="15.75" customHeight="1" s="57"/>
    <row r="948" ht="15.75" customHeight="1" s="57"/>
    <row r="949" ht="15.75" customHeight="1" s="57"/>
    <row r="950" ht="15.75" customHeight="1" s="57"/>
    <row r="951" ht="15.75" customHeight="1" s="57"/>
    <row r="952" ht="15.75" customHeight="1" s="57"/>
    <row r="953" ht="15.75" customHeight="1" s="57"/>
    <row r="954" ht="15.75" customHeight="1" s="57"/>
    <row r="955" ht="15.75" customHeight="1" s="57"/>
    <row r="956" ht="15.75" customHeight="1" s="57"/>
    <row r="957" ht="15.75" customHeight="1" s="57"/>
    <row r="958" ht="15.75" customHeight="1" s="57"/>
    <row r="959" ht="15.75" customHeight="1" s="57"/>
    <row r="960" ht="15.75" customHeight="1" s="57"/>
    <row r="961" ht="15.75" customHeight="1" s="57"/>
    <row r="962" ht="15.75" customHeight="1" s="57"/>
    <row r="963" ht="15.75" customHeight="1" s="57"/>
    <row r="964" ht="15.75" customHeight="1" s="57"/>
    <row r="965" ht="15.75" customHeight="1" s="57"/>
    <row r="966" ht="15.75" customHeight="1" s="57"/>
    <row r="967" ht="15.75" customHeight="1" s="57"/>
    <row r="968" ht="15.75" customHeight="1" s="57"/>
    <row r="969" ht="15.75" customHeight="1" s="57"/>
    <row r="970" ht="15.75" customHeight="1" s="57"/>
    <row r="971" ht="15.75" customHeight="1" s="57"/>
    <row r="972" ht="15.75" customHeight="1" s="57"/>
    <row r="973" ht="15.75" customHeight="1" s="57"/>
    <row r="974" ht="15.75" customHeight="1" s="57"/>
    <row r="975" ht="15.75" customHeight="1" s="57"/>
    <row r="976" ht="15.75" customHeight="1" s="57"/>
    <row r="977" ht="15.75" customHeight="1" s="57"/>
    <row r="978" ht="15.75" customHeight="1" s="57"/>
    <row r="979" ht="15.75" customHeight="1" s="57"/>
    <row r="980" ht="15.75" customHeight="1" s="57"/>
    <row r="981" ht="15.75" customHeight="1" s="57"/>
    <row r="982" ht="15.75" customHeight="1" s="57"/>
  </sheetData>
  <mergeCells count="297">
    <mergeCell ref="O7:P7"/>
    <mergeCell ref="Q13:R13"/>
    <mergeCell ref="Q7:R7"/>
    <mergeCell ref="Q21:R21"/>
    <mergeCell ref="F29:G29"/>
    <mergeCell ref="F16:G16"/>
    <mergeCell ref="K24:L24"/>
    <mergeCell ref="S23:U23"/>
    <mergeCell ref="S37:U37"/>
    <mergeCell ref="F25:G25"/>
    <mergeCell ref="K33:L33"/>
    <mergeCell ref="O6:P6"/>
    <mergeCell ref="O15:P15"/>
    <mergeCell ref="B22:C22"/>
    <mergeCell ref="S13:U13"/>
    <mergeCell ref="D22:E22"/>
    <mergeCell ref="D36:E36"/>
    <mergeCell ref="D31:E31"/>
    <mergeCell ref="I26:J26"/>
    <mergeCell ref="K26:L26"/>
    <mergeCell ref="D6:E6"/>
    <mergeCell ref="S6:U6"/>
    <mergeCell ref="B21:C21"/>
    <mergeCell ref="S15:U15"/>
    <mergeCell ref="I16:J16"/>
    <mergeCell ref="F15:G15"/>
    <mergeCell ref="S24:U24"/>
    <mergeCell ref="D13:E13"/>
    <mergeCell ref="I25:J25"/>
    <mergeCell ref="M10:N10"/>
    <mergeCell ref="O32:P32"/>
    <mergeCell ref="B14:C14"/>
    <mergeCell ref="O26:P26"/>
    <mergeCell ref="Q26:R26"/>
    <mergeCell ref="B1:C1"/>
    <mergeCell ref="I18:J18"/>
    <mergeCell ref="M16:N16"/>
    <mergeCell ref="O16:P16"/>
    <mergeCell ref="B38:C38"/>
    <mergeCell ref="M25:N25"/>
    <mergeCell ref="O25:P25"/>
    <mergeCell ref="D7:E7"/>
    <mergeCell ref="X42:Y42"/>
    <mergeCell ref="K2:L2"/>
    <mergeCell ref="D1:E2"/>
    <mergeCell ref="F23:G23"/>
    <mergeCell ref="F1:G2"/>
    <mergeCell ref="M36:N36"/>
    <mergeCell ref="M18:N18"/>
    <mergeCell ref="M33:N33"/>
    <mergeCell ref="Q9:R9"/>
    <mergeCell ref="O27:P27"/>
    <mergeCell ref="F13:G13"/>
    <mergeCell ref="D4:E4"/>
    <mergeCell ref="Q27:R27"/>
    <mergeCell ref="S25:U25"/>
    <mergeCell ref="M8:N8"/>
    <mergeCell ref="D35:U35"/>
    <mergeCell ref="O8:P8"/>
    <mergeCell ref="M17:N17"/>
    <mergeCell ref="Q30:R30"/>
    <mergeCell ref="O2:P2"/>
    <mergeCell ref="O17:P17"/>
    <mergeCell ref="Q17:R17"/>
    <mergeCell ref="D24:E24"/>
    <mergeCell ref="O11:P11"/>
    <mergeCell ref="Q11:R11"/>
    <mergeCell ref="S27:U27"/>
    <mergeCell ref="D33:E33"/>
    <mergeCell ref="H1:P1"/>
    <mergeCell ref="K37:L37"/>
    <mergeCell ref="M19:N19"/>
    <mergeCell ref="I13:J13"/>
    <mergeCell ref="S17:U17"/>
    <mergeCell ref="K13:L13"/>
    <mergeCell ref="D26:E26"/>
    <mergeCell ref="B35:C35"/>
    <mergeCell ref="S11:U11"/>
    <mergeCell ref="I30:J30"/>
    <mergeCell ref="K30:L30"/>
    <mergeCell ref="B16:C16"/>
    <mergeCell ref="D10:E10"/>
    <mergeCell ref="I6:J6"/>
    <mergeCell ref="F10:G10"/>
    <mergeCell ref="I15:J15"/>
    <mergeCell ref="D19:E19"/>
    <mergeCell ref="D34:E34"/>
    <mergeCell ref="Q37:R37"/>
    <mergeCell ref="K15:L15"/>
    <mergeCell ref="F19:G19"/>
    <mergeCell ref="F34:G34"/>
    <mergeCell ref="Q12:R12"/>
    <mergeCell ref="B3:C3"/>
    <mergeCell ref="F6:G6"/>
    <mergeCell ref="B18:C18"/>
    <mergeCell ref="Q39:R39"/>
    <mergeCell ref="K21:L21"/>
    <mergeCell ref="Y1:Y2"/>
    <mergeCell ref="B2:C2"/>
    <mergeCell ref="F30:G30"/>
    <mergeCell ref="O29:P29"/>
    <mergeCell ref="B11:C11"/>
    <mergeCell ref="Q29:R29"/>
    <mergeCell ref="I32:J32"/>
    <mergeCell ref="I7:J7"/>
    <mergeCell ref="K32:L32"/>
    <mergeCell ref="Q38:R38"/>
    <mergeCell ref="Q23:R23"/>
    <mergeCell ref="F33:G33"/>
    <mergeCell ref="F18:G18"/>
    <mergeCell ref="D11:E11"/>
    <mergeCell ref="F5:G5"/>
    <mergeCell ref="O31:P31"/>
    <mergeCell ref="F17:G17"/>
    <mergeCell ref="Q31:R31"/>
    <mergeCell ref="M13:N13"/>
    <mergeCell ref="M7:N7"/>
    <mergeCell ref="M21:N21"/>
    <mergeCell ref="B29:C29"/>
    <mergeCell ref="O21:P21"/>
    <mergeCell ref="Q15:R15"/>
    <mergeCell ref="I24:J24"/>
    <mergeCell ref="B37:C37"/>
    <mergeCell ref="S32:U32"/>
    <mergeCell ref="D37:E37"/>
    <mergeCell ref="S26:U26"/>
    <mergeCell ref="K27:L27"/>
    <mergeCell ref="I33:J33"/>
    <mergeCell ref="F31:G31"/>
    <mergeCell ref="M27:N27"/>
    <mergeCell ref="I8:J8"/>
    <mergeCell ref="O37:P37"/>
    <mergeCell ref="D9:E9"/>
    <mergeCell ref="I17:J17"/>
    <mergeCell ref="S16:U16"/>
    <mergeCell ref="K17:L17"/>
    <mergeCell ref="D39:E39"/>
    <mergeCell ref="F9:G9"/>
    <mergeCell ref="F39:G39"/>
    <mergeCell ref="M24:N24"/>
    <mergeCell ref="B15:C15"/>
    <mergeCell ref="D15:E15"/>
    <mergeCell ref="I10:J10"/>
    <mergeCell ref="D29:E29"/>
    <mergeCell ref="K10:L10"/>
    <mergeCell ref="I19:J19"/>
    <mergeCell ref="D38:E38"/>
    <mergeCell ref="D23:E23"/>
    <mergeCell ref="K19:L19"/>
    <mergeCell ref="S18:U18"/>
    <mergeCell ref="K6:L6"/>
    <mergeCell ref="S8:U8"/>
    <mergeCell ref="I9:J9"/>
    <mergeCell ref="K16:L16"/>
    <mergeCell ref="F4:G4"/>
    <mergeCell ref="K25:L25"/>
    <mergeCell ref="M34:N34"/>
    <mergeCell ref="O19:P19"/>
    <mergeCell ref="O34:P34"/>
    <mergeCell ref="I2:J2"/>
    <mergeCell ref="K9:L9"/>
    <mergeCell ref="I11:J11"/>
    <mergeCell ref="K5:L5"/>
    <mergeCell ref="M9:N9"/>
    <mergeCell ref="M5:N5"/>
    <mergeCell ref="O9:P9"/>
    <mergeCell ref="V1:V2"/>
    <mergeCell ref="M39:N39"/>
    <mergeCell ref="O39:P39"/>
    <mergeCell ref="O36:P36"/>
    <mergeCell ref="S34:U34"/>
    <mergeCell ref="F7:G7"/>
    <mergeCell ref="O30:P30"/>
    <mergeCell ref="K29:L29"/>
    <mergeCell ref="F21:G21"/>
    <mergeCell ref="K11:L11"/>
    <mergeCell ref="M2:N2"/>
    <mergeCell ref="M11:N11"/>
    <mergeCell ref="O5:P5"/>
    <mergeCell ref="Q5:R5"/>
    <mergeCell ref="D27:E27"/>
    <mergeCell ref="D28:U28"/>
    <mergeCell ref="S36:U36"/>
    <mergeCell ref="I37:J37"/>
    <mergeCell ref="S30:U30"/>
    <mergeCell ref="K31:L31"/>
    <mergeCell ref="B17:C17"/>
    <mergeCell ref="F36:G36"/>
    <mergeCell ref="M31:N31"/>
    <mergeCell ref="D17:E17"/>
    <mergeCell ref="O4:P4"/>
    <mergeCell ref="Q4:R4"/>
    <mergeCell ref="O22:P22"/>
    <mergeCell ref="F8:G8"/>
    <mergeCell ref="I21:J21"/>
    <mergeCell ref="S29:U29"/>
    <mergeCell ref="M15:N15"/>
    <mergeCell ref="M12:N12"/>
    <mergeCell ref="K8:L8"/>
    <mergeCell ref="M37:N37"/>
    <mergeCell ref="Q6:R6"/>
    <mergeCell ref="O46:P46"/>
    <mergeCell ref="B28:C28"/>
    <mergeCell ref="S4:U4"/>
    <mergeCell ref="D14:U14"/>
    <mergeCell ref="S22:U22"/>
    <mergeCell ref="I23:J23"/>
    <mergeCell ref="F22:G22"/>
    <mergeCell ref="S31:U31"/>
    <mergeCell ref="K23:L23"/>
    <mergeCell ref="B9:C9"/>
    <mergeCell ref="M26:N26"/>
    <mergeCell ref="D12:E12"/>
    <mergeCell ref="S12:U12"/>
    <mergeCell ref="D25:E25"/>
    <mergeCell ref="B30:C30"/>
    <mergeCell ref="S21:U21"/>
    <mergeCell ref="K7:L7"/>
    <mergeCell ref="D30:E30"/>
    <mergeCell ref="M29:N29"/>
    <mergeCell ref="M23:N23"/>
    <mergeCell ref="B20:C20"/>
    <mergeCell ref="M38:N38"/>
    <mergeCell ref="O23:P23"/>
    <mergeCell ref="O38:P38"/>
    <mergeCell ref="D5:E5"/>
    <mergeCell ref="Q32:R32"/>
    <mergeCell ref="B5:C5"/>
    <mergeCell ref="Q1:R2"/>
    <mergeCell ref="K18:L18"/>
    <mergeCell ref="Q16:R16"/>
    <mergeCell ref="I34:J34"/>
    <mergeCell ref="S38:U38"/>
    <mergeCell ref="F11:G11"/>
    <mergeCell ref="Q25:R25"/>
    <mergeCell ref="K34:L34"/>
    <mergeCell ref="S7:U7"/>
    <mergeCell ref="S1:U2"/>
    <mergeCell ref="O10:P10"/>
    <mergeCell ref="O24:P24"/>
    <mergeCell ref="I27:J27"/>
    <mergeCell ref="O33:P33"/>
    <mergeCell ref="Q24:R24"/>
    <mergeCell ref="Q18:R18"/>
    <mergeCell ref="Q33:R33"/>
    <mergeCell ref="I36:J36"/>
    <mergeCell ref="O18:P18"/>
    <mergeCell ref="K36:L36"/>
    <mergeCell ref="Q8:R8"/>
    <mergeCell ref="D21:E21"/>
    <mergeCell ref="S10:U10"/>
    <mergeCell ref="S19:U19"/>
    <mergeCell ref="F24:G24"/>
    <mergeCell ref="F12:G12"/>
    <mergeCell ref="S33:U33"/>
    <mergeCell ref="B23:C23"/>
    <mergeCell ref="S9:U9"/>
    <mergeCell ref="Q10:R10"/>
    <mergeCell ref="D32:E32"/>
    <mergeCell ref="Q19:R19"/>
    <mergeCell ref="F32:G32"/>
    <mergeCell ref="I22:J22"/>
    <mergeCell ref="F26:G26"/>
    <mergeCell ref="K22:L22"/>
    <mergeCell ref="M22:N22"/>
    <mergeCell ref="D3:U3"/>
    <mergeCell ref="M30:N30"/>
    <mergeCell ref="D16:E16"/>
    <mergeCell ref="Q34:R34"/>
    <mergeCell ref="I12:J12"/>
    <mergeCell ref="K12:L12"/>
    <mergeCell ref="S5:U5"/>
    <mergeCell ref="F38:G38"/>
    <mergeCell ref="M6:N6"/>
    <mergeCell ref="X1:X2"/>
    <mergeCell ref="Q22:R22"/>
    <mergeCell ref="I5:J5"/>
    <mergeCell ref="I39:J39"/>
    <mergeCell ref="Q36:R36"/>
    <mergeCell ref="D18:E18"/>
    <mergeCell ref="K39:L39"/>
    <mergeCell ref="F27:G27"/>
    <mergeCell ref="O12:P12"/>
    <mergeCell ref="D20:U20"/>
    <mergeCell ref="D8:E8"/>
    <mergeCell ref="F37:G37"/>
    <mergeCell ref="I29:J29"/>
    <mergeCell ref="I4:J4"/>
    <mergeCell ref="I38:J38"/>
    <mergeCell ref="K38:L38"/>
    <mergeCell ref="M32:N32"/>
    <mergeCell ref="B36:C36"/>
    <mergeCell ref="I31:J31"/>
    <mergeCell ref="K4:L4"/>
    <mergeCell ref="S39:U39"/>
    <mergeCell ref="M4:N4"/>
    <mergeCell ref="O13:P1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B2:G27"/>
  <sheetViews>
    <sheetView workbookViewId="0">
      <selection activeCell="A1" sqref="A1"/>
    </sheetView>
  </sheetViews>
  <sheetFormatPr baseColWidth="8" defaultColWidth="12.625" defaultRowHeight="15" customHeight="1"/>
  <cols>
    <col width="8.625" customWidth="1" style="57" min="1" max="1"/>
    <col width="19" customWidth="1" style="57" min="2" max="2"/>
    <col width="45.875" customWidth="1" style="57" min="3" max="3"/>
    <col width="95.375" customWidth="1" style="57" min="4" max="4"/>
    <col width="23.875" customWidth="1" style="57" min="5" max="5"/>
    <col hidden="1" width="0.125" customWidth="1" style="57" min="6" max="7"/>
    <col width="8.625" customWidth="1" style="57" min="8" max="26"/>
  </cols>
  <sheetData>
    <row r="1" ht="14.25" customHeight="1" s="57"/>
    <row r="2" ht="14.25" customHeight="1" s="57">
      <c r="B2" s="139" t="inlineStr">
        <is>
          <t>Form Checklist 5S</t>
        </is>
      </c>
      <c r="F2" s="21" t="n"/>
      <c r="G2" s="36" t="n"/>
    </row>
    <row r="3" ht="14.25" customHeight="1" s="57">
      <c r="B3" s="37" t="inlineStr">
        <is>
          <t xml:space="preserve">5S </t>
        </is>
      </c>
      <c r="C3" s="37" t="inlineStr">
        <is>
          <t>Definition</t>
        </is>
      </c>
      <c r="D3" s="37" t="inlineStr">
        <is>
          <t>Indikator</t>
        </is>
      </c>
      <c r="E3" s="37" t="inlineStr">
        <is>
          <t>Checklist</t>
        </is>
      </c>
      <c r="F3" s="38" t="n"/>
      <c r="G3" s="36">
        <f>ROWS(D4:D26)</f>
        <v/>
      </c>
    </row>
    <row r="4" ht="14.25" customHeight="1" s="57">
      <c r="B4" s="140" t="inlineStr">
        <is>
          <t>Sort 
 (Seiri)</t>
        </is>
      </c>
      <c r="C4" s="141" t="inlineStr">
        <is>
          <t>Memindahkan barang yang tidak perlu dari area kerja, seperti stok usang, rusak, dan berlebih</t>
        </is>
      </c>
      <c r="D4" s="39" t="inlineStr">
        <is>
          <t>Tidak ada mesin atau peralatan yang tidak digunakan di area kerja</t>
        </is>
      </c>
      <c r="E4" s="40" t="n"/>
      <c r="F4" s="41" t="b">
        <v>0</v>
      </c>
      <c r="G4" s="42">
        <f>IF(F4=TRUE,1,0)</f>
        <v/>
      </c>
    </row>
    <row r="5" ht="14.25" customHeight="1" s="57">
      <c r="B5" s="142" t="n"/>
      <c r="C5" s="142" t="n"/>
      <c r="D5" s="43" t="inlineStr">
        <is>
          <t>Lantai bersih dari alat, suku cadang, dan perlengkapan yang tidak diperlukan</t>
        </is>
      </c>
      <c r="E5" s="40" t="n"/>
      <c r="F5" s="41" t="b">
        <v>0</v>
      </c>
      <c r="G5" s="42">
        <f>IF(F5=TRUE,1,0)</f>
        <v/>
      </c>
    </row>
    <row r="6" ht="14.25" customHeight="1" s="57">
      <c r="B6" s="142" t="n"/>
      <c r="C6" s="142" t="n"/>
      <c r="D6" s="43" t="inlineStr">
        <is>
          <t>Limbah dan sampah dibuang ke tempat yang sesuai</t>
        </is>
      </c>
      <c r="E6" s="40" t="n"/>
      <c r="F6" s="41" t="b">
        <v>0</v>
      </c>
      <c r="G6" s="42">
        <f>IF(F6=TRUE,1,0)</f>
        <v/>
      </c>
    </row>
    <row r="7" ht="14.25" customHeight="1" s="57">
      <c r="B7" s="117" t="n"/>
      <c r="C7" s="117" t="n"/>
      <c r="D7" s="43" t="inlineStr">
        <is>
          <t>Area kerja bebas dari hambatan atau bahaya tersandung</t>
        </is>
      </c>
      <c r="E7" s="40" t="n"/>
      <c r="F7" s="41" t="b">
        <v>0</v>
      </c>
      <c r="G7" s="42">
        <f>IF(F7=TRUE,1,0)</f>
        <v/>
      </c>
    </row>
    <row r="8" ht="14.25" customHeight="1" s="57">
      <c r="B8" s="140" t="inlineStr">
        <is>
          <t>Set in Order
 (Seiton)</t>
        </is>
      </c>
      <c r="C8" s="143" t="inlineStr">
        <is>
          <t>Menata barang dengan efisien dan efektif, seperti melabeli lokasi dan meletakkan barang yang sering digunakan di tempat yang mudah diakses</t>
        </is>
      </c>
      <c r="D8" s="44" t="inlineStr">
        <is>
          <t>Rak penyimpanan memiliki label atau gambar yang jelas</t>
        </is>
      </c>
      <c r="E8" s="40" t="n"/>
      <c r="F8" s="41" t="b">
        <v>0</v>
      </c>
      <c r="G8" s="42">
        <f>IF(F8=TRUE,1,0)</f>
        <v/>
      </c>
    </row>
    <row r="9" ht="14.25" customHeight="1" s="57">
      <c r="B9" s="142" t="n"/>
      <c r="C9" s="142" t="n"/>
      <c r="D9" s="44" t="inlineStr">
        <is>
          <t>Memiliki tanda yang menunjukkan lokasi peralatan dan area kerja</t>
        </is>
      </c>
      <c r="E9" s="40" t="n"/>
      <c r="F9" s="41" t="b">
        <v>0</v>
      </c>
      <c r="G9" s="42">
        <f>IF(F9=TRUE,1,0)</f>
        <v/>
      </c>
    </row>
    <row r="10" ht="14.25" customHeight="1" s="57">
      <c r="B10" s="142" t="n"/>
      <c r="C10" s="142" t="n"/>
      <c r="D10" s="44" t="inlineStr">
        <is>
          <t>Lokasi atau tempat penyimpanan alat diberi tanda atau menggunakan shadow board</t>
        </is>
      </c>
      <c r="E10" s="40" t="n"/>
      <c r="F10" s="41" t="b">
        <v>0</v>
      </c>
      <c r="G10" s="42">
        <f>IF(F10=TRUE,1,0)</f>
        <v/>
      </c>
    </row>
    <row r="11" ht="14.25" customHeight="1" s="57">
      <c r="B11" s="142" t="n"/>
      <c r="C11" s="142" t="n"/>
      <c r="D11" s="44" t="inlineStr">
        <is>
          <t>Barang tidak diletakkan sembarangan, tetapi disimpan di tempatnya</t>
        </is>
      </c>
      <c r="E11" s="40" t="n"/>
      <c r="F11" s="41" t="b">
        <v>0</v>
      </c>
      <c r="G11" s="42">
        <f>IF(F11=TRUE,1,0)</f>
        <v/>
      </c>
    </row>
    <row r="12" ht="14.25" customHeight="1" s="57">
      <c r="B12" s="142" t="n"/>
      <c r="C12" s="142" t="n"/>
      <c r="D12" s="44" t="inlineStr">
        <is>
          <t>Forklift dan kendaraan yang tidak digunakan diparkir di area yang telah ditentukan</t>
        </is>
      </c>
      <c r="E12" s="40" t="n"/>
      <c r="F12" s="41" t="b">
        <v>0</v>
      </c>
      <c r="G12" s="42">
        <f>IF(F12=TRUE,1,0)</f>
        <v/>
      </c>
    </row>
    <row r="13" ht="14.25" customHeight="1" s="57">
      <c r="B13" s="117" t="n"/>
      <c r="C13" s="117" t="n"/>
      <c r="D13" s="44" t="inlineStr">
        <is>
          <t>Papan pengumuman atau tanda di area kerja dalam kondisi baik dan ter-update</t>
        </is>
      </c>
      <c r="E13" s="40" t="n"/>
      <c r="F13" s="41" t="b">
        <v>0</v>
      </c>
      <c r="G13" s="42">
        <f>IF(F13=TRUE,1,0)</f>
        <v/>
      </c>
    </row>
    <row r="14" ht="14.25" customHeight="1" s="57">
      <c r="B14" s="140" t="inlineStr">
        <is>
          <t>Shine
 (Seiso)</t>
        </is>
      </c>
      <c r="C14" s="143" t="inlineStr">
        <is>
          <t>Membersihkan area secara menyeluruh dan membuat jadwal pembersihan</t>
        </is>
      </c>
      <c r="D14" s="44" t="inlineStr">
        <is>
          <t>Peralatan Material Handling dalam kondisi bersih, rapi, dan dalam kondisi baik</t>
        </is>
      </c>
      <c r="E14" s="40" t="n"/>
      <c r="F14" s="41" t="b">
        <v>0</v>
      </c>
      <c r="G14" s="42">
        <f>IF(F14=TRUE,1,0)</f>
        <v/>
      </c>
    </row>
    <row r="15" ht="14.25" customHeight="1" s="57">
      <c r="B15" s="142" t="n"/>
      <c r="C15" s="142" t="n"/>
      <c r="D15" s="44" t="inlineStr">
        <is>
          <t>Terdapat jadwal/ checklist kebersihan</t>
        </is>
      </c>
      <c r="E15" s="40" t="n"/>
      <c r="F15" s="41" t="b">
        <v>0</v>
      </c>
      <c r="G15" s="42">
        <f>IF(F15=TRUE,1,0)</f>
        <v/>
      </c>
    </row>
    <row r="16" ht="14.25" customHeight="1" s="57">
      <c r="B16" s="142" t="n"/>
      <c r="C16" s="142" t="n"/>
      <c r="D16" s="44" t="inlineStr">
        <is>
          <t>Terdapat penanggung jawab khusus/ petugas kebersihan</t>
        </is>
      </c>
      <c r="E16" s="40" t="n"/>
      <c r="F16" s="41" t="b">
        <v>0</v>
      </c>
      <c r="G16" s="42">
        <f>IF(F16=TRUE,1,0)</f>
        <v/>
      </c>
    </row>
    <row r="17" ht="14.25" customHeight="1" s="57">
      <c r="B17" s="117" t="n"/>
      <c r="C17" s="117" t="n"/>
      <c r="D17" s="44" t="inlineStr">
        <is>
          <t>Peralatan atau perlengkapan kebersihan tersedia serta mudah diakses</t>
        </is>
      </c>
      <c r="E17" s="40" t="n"/>
      <c r="F17" s="41" t="b">
        <v>0</v>
      </c>
      <c r="G17" s="42">
        <f>IF(F17=TRUE,1,0)</f>
        <v/>
      </c>
    </row>
    <row r="18" ht="14.25" customHeight="1" s="57">
      <c r="B18" s="140" t="inlineStr">
        <is>
          <t>Standardize
 (Seiketsu)</t>
        </is>
      </c>
      <c r="C18" s="143" t="inlineStr">
        <is>
          <t>Menciptakan standar untuk setiap area kerja, seperti mendokumentasikan prosedur praktik terbaik</t>
        </is>
      </c>
      <c r="D18" s="44" t="inlineStr">
        <is>
          <t>Standar operasional telah ditetapkan dan terdokumentasi</t>
        </is>
      </c>
      <c r="E18" s="40" t="n"/>
      <c r="F18" s="41" t="b">
        <v>0</v>
      </c>
      <c r="G18" s="42">
        <f>IF(F18=TRUE,1,0)</f>
        <v/>
      </c>
    </row>
    <row r="19" ht="14.25" customHeight="1" s="57">
      <c r="B19" s="142" t="n"/>
      <c r="C19" s="142" t="n"/>
      <c r="D19" s="44" t="inlineStr">
        <is>
          <t>Audit 5S dilakukan secara rutin menggunakan checklist dan formulir evaluasi</t>
        </is>
      </c>
      <c r="E19" s="40" t="n"/>
      <c r="F19" s="41" t="b">
        <v>0</v>
      </c>
      <c r="G19" s="42">
        <f>IF(F19=TRUE,1,0)</f>
        <v/>
      </c>
    </row>
    <row r="20" ht="14.25" customHeight="1" s="57">
      <c r="B20" s="142" t="n"/>
      <c r="C20" s="142" t="n"/>
      <c r="D20" s="44" t="inlineStr">
        <is>
          <t>Tempat peralatan diberi label serta disimpan dengan benar</t>
        </is>
      </c>
      <c r="E20" s="40" t="n"/>
      <c r="F20" s="41" t="b">
        <v>0</v>
      </c>
      <c r="G20" s="42">
        <f>IF(F20=TRUE,1,0)</f>
        <v/>
      </c>
    </row>
    <row r="21" ht="14.25" customHeight="1" s="57">
      <c r="B21" s="117" t="n"/>
      <c r="C21" s="117" t="n"/>
      <c r="D21" s="44" t="inlineStr">
        <is>
          <t>Terdapat tanda lantai atau rambu keselamatan digunakan untuk mengidentifikasi bahaya di area kerja</t>
        </is>
      </c>
      <c r="E21" s="40" t="n"/>
      <c r="F21" s="41" t="b">
        <v>0</v>
      </c>
      <c r="G21" s="42">
        <f>IF(F21=TRUE,1,0)</f>
        <v/>
      </c>
    </row>
    <row r="22" ht="14.25" customHeight="1" s="57">
      <c r="B22" s="96" t="inlineStr">
        <is>
          <t>Sustain
 (Shitsuke)</t>
        </is>
      </c>
      <c r="C22" s="98" t="inlineStr">
        <is>
          <t xml:space="preserve">5S telah diterapkan dalam pekerjaan sehari-hari </t>
        </is>
      </c>
      <c r="D22" s="44" t="inlineStr">
        <is>
          <t>Terdapat rutinitas pembersihan yang dijalankan sesuai jadwal</t>
        </is>
      </c>
      <c r="E22" s="40" t="n"/>
      <c r="F22" s="41" t="b">
        <v>0</v>
      </c>
      <c r="G22" s="42">
        <f>IF(F22=TRUE,1,0)</f>
        <v/>
      </c>
    </row>
    <row r="23" ht="14.25" customHeight="1" s="57">
      <c r="B23" s="142" t="n"/>
      <c r="C23" s="142" t="n"/>
      <c r="D23" s="44" t="inlineStr">
        <is>
          <t>Semua pekerja menggunakan alat pelindung diri (APD) yang sesuai selama pekerjaan berlangsung</t>
        </is>
      </c>
      <c r="E23" s="40" t="n"/>
      <c r="F23" s="41" t="b">
        <v>0</v>
      </c>
      <c r="G23" s="42">
        <f>IF(F23=TRUE,1,0)</f>
        <v/>
      </c>
    </row>
    <row r="24" ht="14.25" customHeight="1" s="57">
      <c r="B24" s="142" t="n"/>
      <c r="C24" s="142" t="n"/>
      <c r="D24" s="44" t="inlineStr">
        <is>
          <t>Label darurat, peta, dan peralatan keselamatan terlihat dengan jelas</t>
        </is>
      </c>
      <c r="E24" s="40" t="n"/>
      <c r="F24" s="41" t="b">
        <v>0</v>
      </c>
      <c r="G24" s="42">
        <f>IF(F24=TRUE,1,0)</f>
        <v/>
      </c>
    </row>
    <row r="25" ht="14.25" customHeight="1" s="57">
      <c r="B25" s="142" t="n"/>
      <c r="C25" s="142" t="n"/>
      <c r="D25" s="44" t="inlineStr">
        <is>
          <t>Hasil audit 5S diperbarui dan ditampilkan di papan informasi</t>
        </is>
      </c>
      <c r="E25" s="40" t="n"/>
      <c r="F25" s="41" t="b">
        <v>0</v>
      </c>
      <c r="G25" s="42">
        <f>IF(F25=TRUE,1,0)</f>
        <v/>
      </c>
    </row>
    <row r="26" ht="14.25" customHeight="1" s="57">
      <c r="B26" s="142" t="n"/>
      <c r="C26" s="142" t="n"/>
      <c r="D26" s="45" t="inlineStr">
        <is>
          <t>Jadwal dan prosedur 5S telah dipatuhi</t>
        </is>
      </c>
      <c r="E26" s="40" t="n"/>
      <c r="F26" s="41" t="b">
        <v>0</v>
      </c>
      <c r="G26" s="42">
        <f>IF(F26=TRUE,1,0)</f>
        <v/>
      </c>
    </row>
    <row r="27" ht="14.25" customHeight="1" s="57">
      <c r="B27" s="144" t="inlineStr">
        <is>
          <t>Score</t>
        </is>
      </c>
      <c r="C27" s="108" t="n"/>
      <c r="D27" s="109" t="n"/>
      <c r="E27" s="46">
        <f>(SUM(G4:G26)/G3)*100%</f>
        <v/>
      </c>
      <c r="F27" s="47" t="n"/>
      <c r="G27" s="36" t="n"/>
    </row>
    <row r="28" ht="14.25" customHeight="1" s="57"/>
    <row r="29" ht="14.25" customHeight="1" s="57"/>
    <row r="30" ht="14.25" customHeight="1" s="57"/>
    <row r="31" ht="14.25" customHeight="1" s="57"/>
    <row r="32" ht="14.25" customHeight="1" s="57"/>
    <row r="33" ht="14.25" customHeight="1" s="57"/>
    <row r="34" ht="14.25" customHeight="1" s="57"/>
    <row r="35" ht="14.25" customHeight="1" s="57"/>
    <row r="36" ht="14.25" customHeight="1" s="57"/>
    <row r="37" ht="14.25" customHeight="1" s="57"/>
    <row r="38" ht="14.25" customHeight="1" s="57"/>
    <row r="39" ht="14.25" customHeight="1" s="57"/>
    <row r="40" ht="14.25" customHeight="1" s="57"/>
    <row r="41" ht="14.25" customHeight="1" s="57"/>
    <row r="42" ht="14.25" customHeight="1" s="57"/>
    <row r="43" ht="14.25" customHeight="1" s="57"/>
    <row r="44" ht="14.25" customHeight="1" s="57"/>
    <row r="45" ht="14.25" customHeight="1" s="57"/>
    <row r="46" ht="14.25" customHeight="1" s="57"/>
    <row r="47" ht="14.25" customHeight="1" s="57"/>
    <row r="48" ht="14.25" customHeight="1" s="57"/>
    <row r="49" ht="14.25" customHeight="1" s="57"/>
    <row r="50" ht="14.25" customHeight="1" s="57"/>
    <row r="51" ht="14.25" customHeight="1" s="57"/>
    <row r="52" ht="14.25" customHeight="1" s="57"/>
    <row r="53" ht="14.25" customHeight="1" s="57"/>
    <row r="54" ht="14.25" customHeight="1" s="57"/>
    <row r="55" ht="14.25" customHeight="1" s="57"/>
    <row r="56" ht="14.25" customHeight="1" s="57"/>
    <row r="57" ht="14.25" customHeight="1" s="57"/>
    <row r="58" ht="14.25" customHeight="1" s="57"/>
    <row r="59" ht="14.25" customHeight="1" s="57"/>
    <row r="60" ht="14.25" customHeight="1" s="57"/>
    <row r="61" ht="14.25" customHeight="1" s="57"/>
    <row r="62" ht="14.25" customHeight="1" s="57"/>
    <row r="63" ht="14.25" customHeight="1" s="57"/>
    <row r="64" ht="14.25" customHeight="1" s="57"/>
    <row r="65" ht="14.25" customHeight="1" s="57"/>
    <row r="66" ht="14.25" customHeight="1" s="57"/>
    <row r="67" ht="14.25" customHeight="1" s="57"/>
    <row r="68" ht="14.25" customHeight="1" s="57"/>
    <row r="69" ht="14.25" customHeight="1" s="57"/>
    <row r="70" ht="14.25" customHeight="1" s="57"/>
    <row r="71" ht="14.25" customHeight="1" s="57"/>
    <row r="72" ht="14.25" customHeight="1" s="57"/>
    <row r="73" ht="14.25" customHeight="1" s="57"/>
    <row r="74" ht="14.25" customHeight="1" s="57"/>
    <row r="75" ht="14.25" customHeight="1" s="57"/>
    <row r="76" ht="14.25" customHeight="1" s="57"/>
    <row r="77" ht="14.25" customHeight="1" s="57"/>
    <row r="78" ht="14.25" customHeight="1" s="57"/>
    <row r="79" ht="14.25" customHeight="1" s="57"/>
    <row r="80" ht="14.25" customHeight="1" s="57"/>
    <row r="81" ht="14.25" customHeight="1" s="57"/>
    <row r="82" ht="14.25" customHeight="1" s="57"/>
    <row r="83" ht="14.25" customHeight="1" s="57"/>
    <row r="84" ht="14.25" customHeight="1" s="57"/>
    <row r="85" ht="14.25" customHeight="1" s="57"/>
    <row r="86" ht="14.25" customHeight="1" s="57"/>
    <row r="87" ht="14.25" customHeight="1" s="57"/>
    <row r="88" ht="14.25" customHeight="1" s="57"/>
    <row r="89" ht="14.25" customHeight="1" s="57"/>
    <row r="90" ht="14.25" customHeight="1" s="57"/>
    <row r="91" ht="14.25" customHeight="1" s="57"/>
    <row r="92" ht="14.25" customHeight="1" s="57"/>
    <row r="93" ht="14.25" customHeight="1" s="57"/>
    <row r="94" ht="14.25" customHeight="1" s="57"/>
    <row r="95" ht="14.25" customHeight="1" s="57"/>
    <row r="96" ht="14.25" customHeight="1" s="57"/>
    <row r="97" ht="14.25" customHeight="1" s="57"/>
    <row r="98" ht="14.25" customHeight="1" s="57"/>
    <row r="99" ht="14.25" customHeight="1" s="57"/>
    <row r="100" ht="14.25" customHeight="1" s="57"/>
    <row r="101" ht="14.25" customHeight="1" s="57"/>
    <row r="102" ht="14.25" customHeight="1" s="57"/>
    <row r="103" ht="14.25" customHeight="1" s="57"/>
    <row r="104" ht="14.25" customHeight="1" s="57"/>
    <row r="105" ht="14.25" customHeight="1" s="57"/>
    <row r="106" ht="14.25" customHeight="1" s="57"/>
    <row r="107" ht="14.25" customHeight="1" s="57"/>
    <row r="108" ht="14.25" customHeight="1" s="57"/>
    <row r="109" ht="14.25" customHeight="1" s="57"/>
    <row r="110" ht="14.25" customHeight="1" s="57"/>
    <row r="111" ht="14.25" customHeight="1" s="57"/>
    <row r="112" ht="14.25" customHeight="1" s="57"/>
    <row r="113" ht="14.25" customHeight="1" s="57"/>
    <row r="114" ht="14.25" customHeight="1" s="57"/>
    <row r="115" ht="14.25" customHeight="1" s="57"/>
    <row r="116" ht="14.25" customHeight="1" s="57"/>
    <row r="117" ht="14.25" customHeight="1" s="57"/>
    <row r="118" ht="14.25" customHeight="1" s="57"/>
    <row r="119" ht="14.25" customHeight="1" s="57"/>
    <row r="120" ht="14.25" customHeight="1" s="57"/>
    <row r="121" ht="14.25" customHeight="1" s="57"/>
    <row r="122" ht="14.25" customHeight="1" s="57"/>
    <row r="123" ht="14.25" customHeight="1" s="57"/>
    <row r="124" ht="14.25" customHeight="1" s="57"/>
    <row r="125" ht="14.25" customHeight="1" s="57"/>
    <row r="126" ht="14.25" customHeight="1" s="57"/>
    <row r="127" ht="14.25" customHeight="1" s="57"/>
    <row r="128" ht="14.25" customHeight="1" s="57"/>
    <row r="129" ht="14.25" customHeight="1" s="57"/>
    <row r="130" ht="14.25" customHeight="1" s="57"/>
    <row r="131" ht="14.25" customHeight="1" s="57"/>
    <row r="132" ht="14.25" customHeight="1" s="57"/>
    <row r="133" ht="14.25" customHeight="1" s="57"/>
    <row r="134" ht="14.25" customHeight="1" s="57"/>
    <row r="135" ht="14.25" customHeight="1" s="57"/>
    <row r="136" ht="14.25" customHeight="1" s="57"/>
    <row r="137" ht="14.25" customHeight="1" s="57"/>
    <row r="138" ht="14.25" customHeight="1" s="57"/>
    <row r="139" ht="14.25" customHeight="1" s="57"/>
    <row r="140" ht="14.25" customHeight="1" s="57"/>
    <row r="141" ht="14.25" customHeight="1" s="57"/>
    <row r="142" ht="14.25" customHeight="1" s="57"/>
    <row r="143" ht="14.25" customHeight="1" s="57"/>
    <row r="144" ht="14.25" customHeight="1" s="57"/>
    <row r="145" ht="14.25" customHeight="1" s="57"/>
    <row r="146" ht="14.25" customHeight="1" s="57"/>
    <row r="147" ht="14.25" customHeight="1" s="57"/>
    <row r="148" ht="14.25" customHeight="1" s="57"/>
    <row r="149" ht="14.25" customHeight="1" s="57"/>
    <row r="150" ht="14.25" customHeight="1" s="57"/>
    <row r="151" ht="14.25" customHeight="1" s="57"/>
    <row r="152" ht="14.25" customHeight="1" s="57"/>
    <row r="153" ht="14.25" customHeight="1" s="57"/>
    <row r="154" ht="14.25" customHeight="1" s="57"/>
    <row r="155" ht="14.25" customHeight="1" s="57"/>
    <row r="156" ht="14.25" customHeight="1" s="57"/>
    <row r="157" ht="14.25" customHeight="1" s="57"/>
    <row r="158" ht="14.25" customHeight="1" s="57"/>
    <row r="159" ht="14.25" customHeight="1" s="57"/>
    <row r="160" ht="14.25" customHeight="1" s="57"/>
    <row r="161" ht="14.25" customHeight="1" s="57"/>
    <row r="162" ht="14.25" customHeight="1" s="57"/>
    <row r="163" ht="14.25" customHeight="1" s="57"/>
    <row r="164" ht="14.25" customHeight="1" s="57"/>
    <row r="165" ht="14.25" customHeight="1" s="57"/>
    <row r="166" ht="14.25" customHeight="1" s="57"/>
    <row r="167" ht="14.25" customHeight="1" s="57"/>
    <row r="168" ht="14.25" customHeight="1" s="57"/>
    <row r="169" ht="14.25" customHeight="1" s="57"/>
    <row r="170" ht="14.25" customHeight="1" s="57"/>
    <row r="171" ht="14.25" customHeight="1" s="57"/>
    <row r="172" ht="14.25" customHeight="1" s="57"/>
    <row r="173" ht="14.25" customHeight="1" s="57"/>
    <row r="174" ht="14.25" customHeight="1" s="57"/>
    <row r="175" ht="14.25" customHeight="1" s="57"/>
    <row r="176" ht="14.25" customHeight="1" s="57"/>
    <row r="177" ht="14.25" customHeight="1" s="57"/>
    <row r="178" ht="14.25" customHeight="1" s="57"/>
    <row r="179" ht="14.25" customHeight="1" s="57"/>
    <row r="180" ht="14.25" customHeight="1" s="57"/>
    <row r="181" ht="14.25" customHeight="1" s="57"/>
    <row r="182" ht="14.25" customHeight="1" s="57"/>
    <row r="183" ht="14.25" customHeight="1" s="57"/>
    <row r="184" ht="14.25" customHeight="1" s="57"/>
    <row r="185" ht="14.25" customHeight="1" s="57"/>
    <row r="186" ht="14.25" customHeight="1" s="57"/>
    <row r="187" ht="14.25" customHeight="1" s="57"/>
    <row r="188" ht="14.25" customHeight="1" s="57"/>
    <row r="189" ht="14.25" customHeight="1" s="57"/>
    <row r="190" ht="14.25" customHeight="1" s="57"/>
    <row r="191" ht="14.25" customHeight="1" s="57"/>
    <row r="192" ht="14.25" customHeight="1" s="57"/>
    <row r="193" ht="14.25" customHeight="1" s="57"/>
    <row r="194" ht="14.25" customHeight="1" s="57"/>
    <row r="195" ht="14.25" customHeight="1" s="57"/>
    <row r="196" ht="14.25" customHeight="1" s="57"/>
    <row r="197" ht="14.25" customHeight="1" s="57"/>
    <row r="198" ht="14.25" customHeight="1" s="57"/>
    <row r="199" ht="14.25" customHeight="1" s="57"/>
    <row r="200" ht="14.25" customHeight="1" s="57"/>
    <row r="201" ht="14.25" customHeight="1" s="57"/>
    <row r="202" ht="14.25" customHeight="1" s="57"/>
    <row r="203" ht="14.25" customHeight="1" s="57"/>
    <row r="204" ht="14.25" customHeight="1" s="57"/>
    <row r="205" ht="14.25" customHeight="1" s="57"/>
    <row r="206" ht="14.25" customHeight="1" s="57"/>
    <row r="207" ht="14.25" customHeight="1" s="57"/>
    <row r="208" ht="14.25" customHeight="1" s="57"/>
    <row r="209" ht="14.25" customHeight="1" s="57"/>
    <row r="210" ht="14.25" customHeight="1" s="57"/>
    <row r="211" ht="14.25" customHeight="1" s="57"/>
    <row r="212" ht="14.25" customHeight="1" s="57"/>
    <row r="213" ht="14.25" customHeight="1" s="57"/>
    <row r="214" ht="14.25" customHeight="1" s="57"/>
    <row r="215" ht="14.25" customHeight="1" s="57"/>
    <row r="216" ht="14.25" customHeight="1" s="57"/>
    <row r="217" ht="14.25" customHeight="1" s="57"/>
    <row r="218" ht="14.25" customHeight="1" s="57"/>
    <row r="219" ht="14.25" customHeight="1" s="57"/>
    <row r="220" ht="14.25" customHeight="1" s="57"/>
    <row r="221" ht="14.25" customHeight="1" s="57"/>
    <row r="222" ht="14.25" customHeight="1" s="57"/>
    <row r="223" ht="14.25" customHeight="1" s="57"/>
    <row r="224" ht="14.25" customHeight="1" s="57"/>
    <row r="225" ht="14.25" customHeight="1" s="57"/>
    <row r="226" ht="14.25" customHeight="1" s="57"/>
    <row r="227" ht="14.25" customHeight="1" s="57"/>
    <row r="228" ht="14.25" customHeight="1" s="57"/>
    <row r="229" ht="14.25" customHeight="1" s="57"/>
    <row r="230" ht="14.25" customHeight="1" s="57"/>
    <row r="231" ht="14.25" customHeight="1" s="57"/>
    <row r="232" ht="14.25" customHeight="1" s="57"/>
    <row r="233" ht="14.25" customHeight="1" s="57"/>
    <row r="234" ht="14.25" customHeight="1" s="57"/>
    <row r="235" ht="14.25" customHeight="1" s="57"/>
    <row r="236" ht="14.25" customHeight="1" s="57"/>
    <row r="237" ht="14.25" customHeight="1" s="57"/>
    <row r="238" ht="14.25" customHeight="1" s="57"/>
    <row r="239" ht="14.25" customHeight="1" s="57"/>
    <row r="240" ht="14.25" customHeight="1" s="57"/>
    <row r="241" ht="14.25" customHeight="1" s="57"/>
    <row r="242" ht="14.25" customHeight="1" s="57"/>
    <row r="243" ht="14.25" customHeight="1" s="57"/>
    <row r="244" ht="14.25" customHeight="1" s="57"/>
    <row r="245" ht="14.25" customHeight="1" s="57"/>
    <row r="246" ht="14.25" customHeight="1" s="57"/>
    <row r="247" ht="14.25" customHeight="1" s="57"/>
    <row r="248" ht="14.25" customHeight="1" s="57"/>
    <row r="249" ht="14.25" customHeight="1" s="57"/>
    <row r="250" ht="14.25" customHeight="1" s="57"/>
    <row r="251" ht="14.25" customHeight="1" s="57"/>
    <row r="252" ht="14.25" customHeight="1" s="57"/>
    <row r="253" ht="14.25" customHeight="1" s="57"/>
    <row r="254" ht="14.25" customHeight="1" s="57"/>
    <row r="255" ht="14.25" customHeight="1" s="57"/>
    <row r="256" ht="14.25" customHeight="1" s="57"/>
    <row r="257" ht="14.25" customHeight="1" s="57"/>
    <row r="258" ht="14.25" customHeight="1" s="57"/>
    <row r="259" ht="14.25" customHeight="1" s="57"/>
    <row r="260" ht="14.25" customHeight="1" s="57"/>
    <row r="261" ht="14.25" customHeight="1" s="57"/>
    <row r="262" ht="14.25" customHeight="1" s="57"/>
    <row r="263" ht="14.25" customHeight="1" s="57"/>
    <row r="264" ht="14.25" customHeight="1" s="57"/>
    <row r="265" ht="14.25" customHeight="1" s="57"/>
    <row r="266" ht="14.25" customHeight="1" s="57"/>
    <row r="267" ht="14.25" customHeight="1" s="57"/>
    <row r="268" ht="14.25" customHeight="1" s="57"/>
    <row r="269" ht="14.25" customHeight="1" s="57"/>
    <row r="270" ht="14.25" customHeight="1" s="57"/>
    <row r="271" ht="14.25" customHeight="1" s="57"/>
    <row r="272" ht="14.25" customHeight="1" s="57"/>
    <row r="273" ht="14.25" customHeight="1" s="57"/>
    <row r="274" ht="14.25" customHeight="1" s="57"/>
    <row r="275" ht="14.25" customHeight="1" s="57"/>
    <row r="276" ht="14.25" customHeight="1" s="57"/>
    <row r="277" ht="14.25" customHeight="1" s="57"/>
    <row r="278" ht="14.25" customHeight="1" s="57"/>
    <row r="279" ht="14.25" customHeight="1" s="57"/>
    <row r="280" ht="14.25" customHeight="1" s="57"/>
    <row r="281" ht="14.25" customHeight="1" s="57"/>
    <row r="282" ht="14.25" customHeight="1" s="57"/>
    <row r="283" ht="14.25" customHeight="1" s="57"/>
    <row r="284" ht="14.25" customHeight="1" s="57"/>
    <row r="285" ht="14.25" customHeight="1" s="57"/>
    <row r="286" ht="14.25" customHeight="1" s="57"/>
    <row r="287" ht="14.25" customHeight="1" s="57"/>
    <row r="288" ht="14.25" customHeight="1" s="57"/>
    <row r="289" ht="14.25" customHeight="1" s="57"/>
    <row r="290" ht="14.25" customHeight="1" s="57"/>
    <row r="291" ht="14.25" customHeight="1" s="57"/>
    <row r="292" ht="14.25" customHeight="1" s="57"/>
    <row r="293" ht="14.25" customHeight="1" s="57"/>
    <row r="294" ht="14.25" customHeight="1" s="57"/>
    <row r="295" ht="14.25" customHeight="1" s="57"/>
    <row r="296" ht="14.25" customHeight="1" s="57"/>
    <row r="297" ht="14.25" customHeight="1" s="57"/>
    <row r="298" ht="14.25" customHeight="1" s="57"/>
    <row r="299" ht="14.25" customHeight="1" s="57"/>
    <row r="300" ht="14.25" customHeight="1" s="57"/>
    <row r="301" ht="14.25" customHeight="1" s="57"/>
    <row r="302" ht="14.25" customHeight="1" s="57"/>
    <row r="303" ht="14.25" customHeight="1" s="57"/>
    <row r="304" ht="14.25" customHeight="1" s="57"/>
    <row r="305" ht="14.25" customHeight="1" s="57"/>
    <row r="306" ht="14.25" customHeight="1" s="57"/>
    <row r="307" ht="14.25" customHeight="1" s="57"/>
    <row r="308" ht="14.25" customHeight="1" s="57"/>
    <row r="309" ht="14.25" customHeight="1" s="57"/>
    <row r="310" ht="14.25" customHeight="1" s="57"/>
    <row r="311" ht="14.25" customHeight="1" s="57"/>
    <row r="312" ht="14.25" customHeight="1" s="57"/>
    <row r="313" ht="14.25" customHeight="1" s="57"/>
    <row r="314" ht="14.25" customHeight="1" s="57"/>
    <row r="315" ht="14.25" customHeight="1" s="57"/>
    <row r="316" ht="14.25" customHeight="1" s="57"/>
    <row r="317" ht="14.25" customHeight="1" s="57"/>
    <row r="318" ht="14.25" customHeight="1" s="57"/>
    <row r="319" ht="14.25" customHeight="1" s="57"/>
    <row r="320" ht="14.25" customHeight="1" s="57"/>
    <row r="321" ht="14.25" customHeight="1" s="57"/>
    <row r="322" ht="14.25" customHeight="1" s="57"/>
    <row r="323" ht="14.25" customHeight="1" s="57"/>
    <row r="324" ht="14.25" customHeight="1" s="57"/>
    <row r="325" ht="14.25" customHeight="1" s="57"/>
    <row r="326" ht="14.25" customHeight="1" s="57"/>
    <row r="327" ht="14.25" customHeight="1" s="57"/>
    <row r="328" ht="14.25" customHeight="1" s="57"/>
    <row r="329" ht="14.25" customHeight="1" s="57"/>
    <row r="330" ht="14.25" customHeight="1" s="57"/>
    <row r="331" ht="14.25" customHeight="1" s="57"/>
    <row r="332" ht="14.25" customHeight="1" s="57"/>
    <row r="333" ht="14.25" customHeight="1" s="57"/>
    <row r="334" ht="14.25" customHeight="1" s="57"/>
    <row r="335" ht="14.25" customHeight="1" s="57"/>
    <row r="336" ht="14.25" customHeight="1" s="57"/>
    <row r="337" ht="14.25" customHeight="1" s="57"/>
    <row r="338" ht="14.25" customHeight="1" s="57"/>
    <row r="339" ht="14.25" customHeight="1" s="57"/>
    <row r="340" ht="14.25" customHeight="1" s="57"/>
    <row r="341" ht="14.25" customHeight="1" s="57"/>
    <row r="342" ht="14.25" customHeight="1" s="57"/>
    <row r="343" ht="14.25" customHeight="1" s="57"/>
    <row r="344" ht="14.25" customHeight="1" s="57"/>
    <row r="345" ht="14.25" customHeight="1" s="57"/>
    <row r="346" ht="14.25" customHeight="1" s="57"/>
    <row r="347" ht="14.25" customHeight="1" s="57"/>
    <row r="348" ht="14.25" customHeight="1" s="57"/>
    <row r="349" ht="14.25" customHeight="1" s="57"/>
    <row r="350" ht="14.25" customHeight="1" s="57"/>
    <row r="351" ht="14.25" customHeight="1" s="57"/>
    <row r="352" ht="14.25" customHeight="1" s="57"/>
    <row r="353" ht="14.25" customHeight="1" s="57"/>
    <row r="354" ht="14.25" customHeight="1" s="57"/>
    <row r="355" ht="14.25" customHeight="1" s="57"/>
    <row r="356" ht="14.25" customHeight="1" s="57"/>
    <row r="357" ht="14.25" customHeight="1" s="57"/>
    <row r="358" ht="14.25" customHeight="1" s="57"/>
    <row r="359" ht="14.25" customHeight="1" s="57"/>
    <row r="360" ht="14.25" customHeight="1" s="57"/>
    <row r="361" ht="14.25" customHeight="1" s="57"/>
    <row r="362" ht="14.25" customHeight="1" s="57"/>
    <row r="363" ht="14.25" customHeight="1" s="57"/>
    <row r="364" ht="14.25" customHeight="1" s="57"/>
    <row r="365" ht="14.25" customHeight="1" s="57"/>
    <row r="366" ht="14.25" customHeight="1" s="57"/>
    <row r="367" ht="14.25" customHeight="1" s="57"/>
    <row r="368" ht="14.25" customHeight="1" s="57"/>
    <row r="369" ht="14.25" customHeight="1" s="57"/>
    <row r="370" ht="14.25" customHeight="1" s="57"/>
    <row r="371" ht="14.25" customHeight="1" s="57"/>
    <row r="372" ht="14.25" customHeight="1" s="57"/>
    <row r="373" ht="14.25" customHeight="1" s="57"/>
    <row r="374" ht="14.25" customHeight="1" s="57"/>
    <row r="375" ht="14.25" customHeight="1" s="57"/>
    <row r="376" ht="14.25" customHeight="1" s="57"/>
    <row r="377" ht="14.25" customHeight="1" s="57"/>
    <row r="378" ht="14.25" customHeight="1" s="57"/>
    <row r="379" ht="14.25" customHeight="1" s="57"/>
    <row r="380" ht="14.25" customHeight="1" s="57"/>
    <row r="381" ht="14.25" customHeight="1" s="57"/>
    <row r="382" ht="14.25" customHeight="1" s="57"/>
    <row r="383" ht="14.25" customHeight="1" s="57"/>
    <row r="384" ht="14.25" customHeight="1" s="57"/>
    <row r="385" ht="14.25" customHeight="1" s="57"/>
    <row r="386" ht="14.25" customHeight="1" s="57"/>
    <row r="387" ht="14.25" customHeight="1" s="57"/>
    <row r="388" ht="14.25" customHeight="1" s="57"/>
    <row r="389" ht="14.25" customHeight="1" s="57"/>
    <row r="390" ht="14.25" customHeight="1" s="57"/>
    <row r="391" ht="14.25" customHeight="1" s="57"/>
    <row r="392" ht="14.25" customHeight="1" s="57"/>
    <row r="393" ht="14.25" customHeight="1" s="57"/>
    <row r="394" ht="14.25" customHeight="1" s="57"/>
    <row r="395" ht="14.25" customHeight="1" s="57"/>
    <row r="396" ht="14.25" customHeight="1" s="57"/>
    <row r="397" ht="14.25" customHeight="1" s="57"/>
    <row r="398" ht="14.25" customHeight="1" s="57"/>
    <row r="399" ht="14.25" customHeight="1" s="57"/>
    <row r="400" ht="14.25" customHeight="1" s="57"/>
    <row r="401" ht="14.25" customHeight="1" s="57"/>
    <row r="402" ht="14.25" customHeight="1" s="57"/>
    <row r="403" ht="14.25" customHeight="1" s="57"/>
    <row r="404" ht="14.25" customHeight="1" s="57"/>
    <row r="405" ht="14.25" customHeight="1" s="57"/>
    <row r="406" ht="14.25" customHeight="1" s="57"/>
    <row r="407" ht="14.25" customHeight="1" s="57"/>
    <row r="408" ht="14.25" customHeight="1" s="57"/>
    <row r="409" ht="14.25" customHeight="1" s="57"/>
    <row r="410" ht="14.25" customHeight="1" s="57"/>
    <row r="411" ht="14.25" customHeight="1" s="57"/>
    <row r="412" ht="14.25" customHeight="1" s="57"/>
    <row r="413" ht="14.25" customHeight="1" s="57"/>
    <row r="414" ht="14.25" customHeight="1" s="57"/>
    <row r="415" ht="14.25" customHeight="1" s="57"/>
    <row r="416" ht="14.25" customHeight="1" s="57"/>
    <row r="417" ht="14.25" customHeight="1" s="57"/>
    <row r="418" ht="14.25" customHeight="1" s="57"/>
    <row r="419" ht="14.25" customHeight="1" s="57"/>
    <row r="420" ht="14.25" customHeight="1" s="57"/>
    <row r="421" ht="14.25" customHeight="1" s="57"/>
    <row r="422" ht="14.25" customHeight="1" s="57"/>
    <row r="423" ht="14.25" customHeight="1" s="57"/>
    <row r="424" ht="14.25" customHeight="1" s="57"/>
    <row r="425" ht="14.25" customHeight="1" s="57"/>
    <row r="426" ht="14.25" customHeight="1" s="57"/>
    <row r="427" ht="14.25" customHeight="1" s="57"/>
    <row r="428" ht="14.25" customHeight="1" s="57"/>
    <row r="429" ht="14.25" customHeight="1" s="57"/>
    <row r="430" ht="14.25" customHeight="1" s="57"/>
    <row r="431" ht="14.25" customHeight="1" s="57"/>
    <row r="432" ht="14.25" customHeight="1" s="57"/>
    <row r="433" ht="14.25" customHeight="1" s="57"/>
    <row r="434" ht="14.25" customHeight="1" s="57"/>
    <row r="435" ht="14.25" customHeight="1" s="57"/>
    <row r="436" ht="14.25" customHeight="1" s="57"/>
    <row r="437" ht="14.25" customHeight="1" s="57"/>
    <row r="438" ht="14.25" customHeight="1" s="57"/>
    <row r="439" ht="14.25" customHeight="1" s="57"/>
    <row r="440" ht="14.25" customHeight="1" s="57"/>
    <row r="441" ht="14.25" customHeight="1" s="57"/>
    <row r="442" ht="14.25" customHeight="1" s="57"/>
    <row r="443" ht="14.25" customHeight="1" s="57"/>
    <row r="444" ht="14.25" customHeight="1" s="57"/>
    <row r="445" ht="14.25" customHeight="1" s="57"/>
    <row r="446" ht="14.25" customHeight="1" s="57"/>
    <row r="447" ht="14.25" customHeight="1" s="57"/>
    <row r="448" ht="14.25" customHeight="1" s="57"/>
    <row r="449" ht="14.25" customHeight="1" s="57"/>
    <row r="450" ht="14.25" customHeight="1" s="57"/>
    <row r="451" ht="14.25" customHeight="1" s="57"/>
    <row r="452" ht="14.25" customHeight="1" s="57"/>
    <row r="453" ht="14.25" customHeight="1" s="57"/>
    <row r="454" ht="14.25" customHeight="1" s="57"/>
    <row r="455" ht="14.25" customHeight="1" s="57"/>
    <row r="456" ht="14.25" customHeight="1" s="57"/>
    <row r="457" ht="14.25" customHeight="1" s="57"/>
    <row r="458" ht="14.25" customHeight="1" s="57"/>
    <row r="459" ht="14.25" customHeight="1" s="57"/>
    <row r="460" ht="14.25" customHeight="1" s="57"/>
    <row r="461" ht="14.25" customHeight="1" s="57"/>
    <row r="462" ht="14.25" customHeight="1" s="57"/>
    <row r="463" ht="14.25" customHeight="1" s="57"/>
    <row r="464" ht="14.25" customHeight="1" s="57"/>
    <row r="465" ht="14.25" customHeight="1" s="57"/>
    <row r="466" ht="14.25" customHeight="1" s="57"/>
    <row r="467" ht="14.25" customHeight="1" s="57"/>
    <row r="468" ht="14.25" customHeight="1" s="57"/>
    <row r="469" ht="14.25" customHeight="1" s="57"/>
    <row r="470" ht="14.25" customHeight="1" s="57"/>
    <row r="471" ht="14.25" customHeight="1" s="57"/>
    <row r="472" ht="14.25" customHeight="1" s="57"/>
    <row r="473" ht="14.25" customHeight="1" s="57"/>
    <row r="474" ht="14.25" customHeight="1" s="57"/>
    <row r="475" ht="14.25" customHeight="1" s="57"/>
    <row r="476" ht="14.25" customHeight="1" s="57"/>
    <row r="477" ht="14.25" customHeight="1" s="57"/>
    <row r="478" ht="14.25" customHeight="1" s="57"/>
    <row r="479" ht="14.25" customHeight="1" s="57"/>
    <row r="480" ht="14.25" customHeight="1" s="57"/>
    <row r="481" ht="14.25" customHeight="1" s="57"/>
    <row r="482" ht="14.25" customHeight="1" s="57"/>
    <row r="483" ht="14.25" customHeight="1" s="57"/>
    <row r="484" ht="14.25" customHeight="1" s="57"/>
    <row r="485" ht="14.25" customHeight="1" s="57"/>
    <row r="486" ht="14.25" customHeight="1" s="57"/>
    <row r="487" ht="14.25" customHeight="1" s="57"/>
    <row r="488" ht="14.25" customHeight="1" s="57"/>
    <row r="489" ht="14.25" customHeight="1" s="57"/>
    <row r="490" ht="14.25" customHeight="1" s="57"/>
    <row r="491" ht="14.25" customHeight="1" s="57"/>
    <row r="492" ht="14.25" customHeight="1" s="57"/>
    <row r="493" ht="14.25" customHeight="1" s="57"/>
    <row r="494" ht="14.25" customHeight="1" s="57"/>
    <row r="495" ht="14.25" customHeight="1" s="57"/>
    <row r="496" ht="14.25" customHeight="1" s="57"/>
    <row r="497" ht="14.25" customHeight="1" s="57"/>
    <row r="498" ht="14.25" customHeight="1" s="57"/>
    <row r="499" ht="14.25" customHeight="1" s="57"/>
    <row r="500" ht="14.25" customHeight="1" s="57"/>
    <row r="501" ht="14.25" customHeight="1" s="57"/>
    <row r="502" ht="14.25" customHeight="1" s="57"/>
    <row r="503" ht="14.25" customHeight="1" s="57"/>
    <row r="504" ht="14.25" customHeight="1" s="57"/>
    <row r="505" ht="14.25" customHeight="1" s="57"/>
    <row r="506" ht="14.25" customHeight="1" s="57"/>
    <row r="507" ht="14.25" customHeight="1" s="57"/>
    <row r="508" ht="14.25" customHeight="1" s="57"/>
    <row r="509" ht="14.25" customHeight="1" s="57"/>
    <row r="510" ht="14.25" customHeight="1" s="57"/>
    <row r="511" ht="14.25" customHeight="1" s="57"/>
    <row r="512" ht="14.25" customHeight="1" s="57"/>
    <row r="513" ht="14.25" customHeight="1" s="57"/>
    <row r="514" ht="14.25" customHeight="1" s="57"/>
    <row r="515" ht="14.25" customHeight="1" s="57"/>
    <row r="516" ht="14.25" customHeight="1" s="57"/>
    <row r="517" ht="14.25" customHeight="1" s="57"/>
    <row r="518" ht="14.25" customHeight="1" s="57"/>
    <row r="519" ht="14.25" customHeight="1" s="57"/>
    <row r="520" ht="14.25" customHeight="1" s="57"/>
    <row r="521" ht="14.25" customHeight="1" s="57"/>
    <row r="522" ht="14.25" customHeight="1" s="57"/>
    <row r="523" ht="14.25" customHeight="1" s="57"/>
    <row r="524" ht="14.25" customHeight="1" s="57"/>
    <row r="525" ht="14.25" customHeight="1" s="57"/>
    <row r="526" ht="14.25" customHeight="1" s="57"/>
    <row r="527" ht="14.25" customHeight="1" s="57"/>
    <row r="528" ht="14.25" customHeight="1" s="57"/>
    <row r="529" ht="14.25" customHeight="1" s="57"/>
    <row r="530" ht="14.25" customHeight="1" s="57"/>
    <row r="531" ht="14.25" customHeight="1" s="57"/>
    <row r="532" ht="14.25" customHeight="1" s="57"/>
    <row r="533" ht="14.25" customHeight="1" s="57"/>
    <row r="534" ht="14.25" customHeight="1" s="57"/>
    <row r="535" ht="14.25" customHeight="1" s="57"/>
    <row r="536" ht="14.25" customHeight="1" s="57"/>
    <row r="537" ht="14.25" customHeight="1" s="57"/>
    <row r="538" ht="14.25" customHeight="1" s="57"/>
    <row r="539" ht="14.25" customHeight="1" s="57"/>
    <row r="540" ht="14.25" customHeight="1" s="57"/>
    <row r="541" ht="14.25" customHeight="1" s="57"/>
    <row r="542" ht="14.25" customHeight="1" s="57"/>
    <row r="543" ht="14.25" customHeight="1" s="57"/>
    <row r="544" ht="14.25" customHeight="1" s="57"/>
    <row r="545" ht="14.25" customHeight="1" s="57"/>
    <row r="546" ht="14.25" customHeight="1" s="57"/>
    <row r="547" ht="14.25" customHeight="1" s="57"/>
    <row r="548" ht="14.25" customHeight="1" s="57"/>
    <row r="549" ht="14.25" customHeight="1" s="57"/>
    <row r="550" ht="14.25" customHeight="1" s="57"/>
    <row r="551" ht="14.25" customHeight="1" s="57"/>
    <row r="552" ht="14.25" customHeight="1" s="57"/>
    <row r="553" ht="14.25" customHeight="1" s="57"/>
    <row r="554" ht="14.25" customHeight="1" s="57"/>
    <row r="555" ht="14.25" customHeight="1" s="57"/>
    <row r="556" ht="14.25" customHeight="1" s="57"/>
    <row r="557" ht="14.25" customHeight="1" s="57"/>
    <row r="558" ht="14.25" customHeight="1" s="57"/>
    <row r="559" ht="14.25" customHeight="1" s="57"/>
    <row r="560" ht="14.25" customHeight="1" s="57"/>
    <row r="561" ht="14.25" customHeight="1" s="57"/>
    <row r="562" ht="14.25" customHeight="1" s="57"/>
    <row r="563" ht="14.25" customHeight="1" s="57"/>
    <row r="564" ht="14.25" customHeight="1" s="57"/>
    <row r="565" ht="14.25" customHeight="1" s="57"/>
    <row r="566" ht="14.25" customHeight="1" s="57"/>
    <row r="567" ht="14.25" customHeight="1" s="57"/>
    <row r="568" ht="14.25" customHeight="1" s="57"/>
    <row r="569" ht="14.25" customHeight="1" s="57"/>
    <row r="570" ht="14.25" customHeight="1" s="57"/>
    <row r="571" ht="14.25" customHeight="1" s="57"/>
    <row r="572" ht="14.25" customHeight="1" s="57"/>
    <row r="573" ht="14.25" customHeight="1" s="57"/>
    <row r="574" ht="14.25" customHeight="1" s="57"/>
    <row r="575" ht="14.25" customHeight="1" s="57"/>
    <row r="576" ht="14.25" customHeight="1" s="57"/>
    <row r="577" ht="14.25" customHeight="1" s="57"/>
    <row r="578" ht="14.25" customHeight="1" s="57"/>
    <row r="579" ht="14.25" customHeight="1" s="57"/>
    <row r="580" ht="14.25" customHeight="1" s="57"/>
    <row r="581" ht="14.25" customHeight="1" s="57"/>
    <row r="582" ht="14.25" customHeight="1" s="57"/>
    <row r="583" ht="14.25" customHeight="1" s="57"/>
    <row r="584" ht="14.25" customHeight="1" s="57"/>
    <row r="585" ht="14.25" customHeight="1" s="57"/>
    <row r="586" ht="14.25" customHeight="1" s="57"/>
    <row r="587" ht="14.25" customHeight="1" s="57"/>
    <row r="588" ht="14.25" customHeight="1" s="57"/>
    <row r="589" ht="14.25" customHeight="1" s="57"/>
    <row r="590" ht="14.25" customHeight="1" s="57"/>
    <row r="591" ht="14.25" customHeight="1" s="57"/>
    <row r="592" ht="14.25" customHeight="1" s="57"/>
    <row r="593" ht="14.25" customHeight="1" s="57"/>
    <row r="594" ht="14.25" customHeight="1" s="57"/>
    <row r="595" ht="14.25" customHeight="1" s="57"/>
    <row r="596" ht="14.25" customHeight="1" s="57"/>
    <row r="597" ht="14.25" customHeight="1" s="57"/>
    <row r="598" ht="14.25" customHeight="1" s="57"/>
    <row r="599" ht="14.25" customHeight="1" s="57"/>
    <row r="600" ht="14.25" customHeight="1" s="57"/>
    <row r="601" ht="14.25" customHeight="1" s="57"/>
    <row r="602" ht="14.25" customHeight="1" s="57"/>
    <row r="603" ht="14.25" customHeight="1" s="57"/>
    <row r="604" ht="14.25" customHeight="1" s="57"/>
    <row r="605" ht="14.25" customHeight="1" s="57"/>
    <row r="606" ht="14.25" customHeight="1" s="57"/>
    <row r="607" ht="14.25" customHeight="1" s="57"/>
    <row r="608" ht="14.25" customHeight="1" s="57"/>
    <row r="609" ht="14.25" customHeight="1" s="57"/>
    <row r="610" ht="14.25" customHeight="1" s="57"/>
    <row r="611" ht="14.25" customHeight="1" s="57"/>
    <row r="612" ht="14.25" customHeight="1" s="57"/>
    <row r="613" ht="14.25" customHeight="1" s="57"/>
    <row r="614" ht="14.25" customHeight="1" s="57"/>
    <row r="615" ht="14.25" customHeight="1" s="57"/>
    <row r="616" ht="14.25" customHeight="1" s="57"/>
    <row r="617" ht="14.25" customHeight="1" s="57"/>
    <row r="618" ht="14.25" customHeight="1" s="57"/>
    <row r="619" ht="14.25" customHeight="1" s="57"/>
    <row r="620" ht="14.25" customHeight="1" s="57"/>
    <row r="621" ht="14.25" customHeight="1" s="57"/>
    <row r="622" ht="14.25" customHeight="1" s="57"/>
    <row r="623" ht="14.25" customHeight="1" s="57"/>
    <row r="624" ht="14.25" customHeight="1" s="57"/>
    <row r="625" ht="14.25" customHeight="1" s="57"/>
    <row r="626" ht="14.25" customHeight="1" s="57"/>
    <row r="627" ht="14.25" customHeight="1" s="57"/>
    <row r="628" ht="14.25" customHeight="1" s="57"/>
    <row r="629" ht="14.25" customHeight="1" s="57"/>
    <row r="630" ht="14.25" customHeight="1" s="57"/>
    <row r="631" ht="14.25" customHeight="1" s="57"/>
    <row r="632" ht="14.25" customHeight="1" s="57"/>
    <row r="633" ht="14.25" customHeight="1" s="57"/>
    <row r="634" ht="14.25" customHeight="1" s="57"/>
    <row r="635" ht="14.25" customHeight="1" s="57"/>
    <row r="636" ht="14.25" customHeight="1" s="57"/>
    <row r="637" ht="14.25" customHeight="1" s="57"/>
    <row r="638" ht="14.25" customHeight="1" s="57"/>
    <row r="639" ht="14.25" customHeight="1" s="57"/>
    <row r="640" ht="14.25" customHeight="1" s="57"/>
    <row r="641" ht="14.25" customHeight="1" s="57"/>
    <row r="642" ht="14.25" customHeight="1" s="57"/>
    <row r="643" ht="14.25" customHeight="1" s="57"/>
    <row r="644" ht="14.25" customHeight="1" s="57"/>
    <row r="645" ht="14.25" customHeight="1" s="57"/>
    <row r="646" ht="14.25" customHeight="1" s="57"/>
    <row r="647" ht="14.25" customHeight="1" s="57"/>
    <row r="648" ht="14.25" customHeight="1" s="57"/>
    <row r="649" ht="14.25" customHeight="1" s="57"/>
    <row r="650" ht="14.25" customHeight="1" s="57"/>
    <row r="651" ht="14.25" customHeight="1" s="57"/>
    <row r="652" ht="14.25" customHeight="1" s="57"/>
    <row r="653" ht="14.25" customHeight="1" s="57"/>
    <row r="654" ht="14.25" customHeight="1" s="57"/>
    <row r="655" ht="14.25" customHeight="1" s="57"/>
    <row r="656" ht="14.25" customHeight="1" s="57"/>
    <row r="657" ht="14.25" customHeight="1" s="57"/>
    <row r="658" ht="14.25" customHeight="1" s="57"/>
    <row r="659" ht="14.25" customHeight="1" s="57"/>
    <row r="660" ht="14.25" customHeight="1" s="57"/>
    <row r="661" ht="14.25" customHeight="1" s="57"/>
    <row r="662" ht="14.25" customHeight="1" s="57"/>
    <row r="663" ht="14.25" customHeight="1" s="57"/>
    <row r="664" ht="14.25" customHeight="1" s="57"/>
    <row r="665" ht="14.25" customHeight="1" s="57"/>
    <row r="666" ht="14.25" customHeight="1" s="57"/>
    <row r="667" ht="14.25" customHeight="1" s="57"/>
    <row r="668" ht="14.25" customHeight="1" s="57"/>
    <row r="669" ht="14.25" customHeight="1" s="57"/>
    <row r="670" ht="14.25" customHeight="1" s="57"/>
    <row r="671" ht="14.25" customHeight="1" s="57"/>
    <row r="672" ht="14.25" customHeight="1" s="57"/>
    <row r="673" ht="14.25" customHeight="1" s="57"/>
    <row r="674" ht="14.25" customHeight="1" s="57"/>
    <row r="675" ht="14.25" customHeight="1" s="57"/>
    <row r="676" ht="14.25" customHeight="1" s="57"/>
    <row r="677" ht="14.25" customHeight="1" s="57"/>
    <row r="678" ht="14.25" customHeight="1" s="57"/>
    <row r="679" ht="14.25" customHeight="1" s="57"/>
    <row r="680" ht="14.25" customHeight="1" s="57"/>
    <row r="681" ht="14.25" customHeight="1" s="57"/>
    <row r="682" ht="14.25" customHeight="1" s="57"/>
    <row r="683" ht="14.25" customHeight="1" s="57"/>
    <row r="684" ht="14.25" customHeight="1" s="57"/>
    <row r="685" ht="14.25" customHeight="1" s="57"/>
    <row r="686" ht="14.25" customHeight="1" s="57"/>
    <row r="687" ht="14.25" customHeight="1" s="57"/>
    <row r="688" ht="14.25" customHeight="1" s="57"/>
    <row r="689" ht="14.25" customHeight="1" s="57"/>
    <row r="690" ht="14.25" customHeight="1" s="57"/>
    <row r="691" ht="14.25" customHeight="1" s="57"/>
    <row r="692" ht="14.25" customHeight="1" s="57"/>
    <row r="693" ht="14.25" customHeight="1" s="57"/>
    <row r="694" ht="14.25" customHeight="1" s="57"/>
    <row r="695" ht="14.25" customHeight="1" s="57"/>
    <row r="696" ht="14.25" customHeight="1" s="57"/>
    <row r="697" ht="14.25" customHeight="1" s="57"/>
    <row r="698" ht="14.25" customHeight="1" s="57"/>
    <row r="699" ht="14.25" customHeight="1" s="57"/>
    <row r="700" ht="14.25" customHeight="1" s="57"/>
    <row r="701" ht="14.25" customHeight="1" s="57"/>
    <row r="702" ht="14.25" customHeight="1" s="57"/>
    <row r="703" ht="14.25" customHeight="1" s="57"/>
    <row r="704" ht="14.25" customHeight="1" s="57"/>
    <row r="705" ht="14.25" customHeight="1" s="57"/>
    <row r="706" ht="14.25" customHeight="1" s="57"/>
    <row r="707" ht="14.25" customHeight="1" s="57"/>
    <row r="708" ht="14.25" customHeight="1" s="57"/>
    <row r="709" ht="14.25" customHeight="1" s="57"/>
    <row r="710" ht="14.25" customHeight="1" s="57"/>
    <row r="711" ht="14.25" customHeight="1" s="57"/>
    <row r="712" ht="14.25" customHeight="1" s="57"/>
    <row r="713" ht="14.25" customHeight="1" s="57"/>
    <row r="714" ht="14.25" customHeight="1" s="57"/>
    <row r="715" ht="14.25" customHeight="1" s="57"/>
    <row r="716" ht="14.25" customHeight="1" s="57"/>
    <row r="717" ht="14.25" customHeight="1" s="57"/>
    <row r="718" ht="14.25" customHeight="1" s="57"/>
    <row r="719" ht="14.25" customHeight="1" s="57"/>
    <row r="720" ht="14.25" customHeight="1" s="57"/>
    <row r="721" ht="14.25" customHeight="1" s="57"/>
    <row r="722" ht="14.25" customHeight="1" s="57"/>
    <row r="723" ht="14.25" customHeight="1" s="57"/>
    <row r="724" ht="14.25" customHeight="1" s="57"/>
    <row r="725" ht="14.25" customHeight="1" s="57"/>
    <row r="726" ht="14.25" customHeight="1" s="57"/>
    <row r="727" ht="14.25" customHeight="1" s="57"/>
    <row r="728" ht="14.25" customHeight="1" s="57"/>
    <row r="729" ht="14.25" customHeight="1" s="57"/>
    <row r="730" ht="14.25" customHeight="1" s="57"/>
    <row r="731" ht="14.25" customHeight="1" s="57"/>
    <row r="732" ht="14.25" customHeight="1" s="57"/>
    <row r="733" ht="14.25" customHeight="1" s="57"/>
    <row r="734" ht="14.25" customHeight="1" s="57"/>
    <row r="735" ht="14.25" customHeight="1" s="57"/>
    <row r="736" ht="14.25" customHeight="1" s="57"/>
    <row r="737" ht="14.25" customHeight="1" s="57"/>
    <row r="738" ht="14.25" customHeight="1" s="57"/>
    <row r="739" ht="14.25" customHeight="1" s="57"/>
    <row r="740" ht="14.25" customHeight="1" s="57"/>
    <row r="741" ht="14.25" customHeight="1" s="57"/>
    <row r="742" ht="14.25" customHeight="1" s="57"/>
    <row r="743" ht="14.25" customHeight="1" s="57"/>
    <row r="744" ht="14.25" customHeight="1" s="57"/>
    <row r="745" ht="14.25" customHeight="1" s="57"/>
    <row r="746" ht="14.25" customHeight="1" s="57"/>
    <row r="747" ht="14.25" customHeight="1" s="57"/>
    <row r="748" ht="14.25" customHeight="1" s="57"/>
    <row r="749" ht="14.25" customHeight="1" s="57"/>
    <row r="750" ht="14.25" customHeight="1" s="57"/>
    <row r="751" ht="14.25" customHeight="1" s="57"/>
    <row r="752" ht="14.25" customHeight="1" s="57"/>
    <row r="753" ht="14.25" customHeight="1" s="57"/>
    <row r="754" ht="14.25" customHeight="1" s="57"/>
    <row r="755" ht="14.25" customHeight="1" s="57"/>
    <row r="756" ht="14.25" customHeight="1" s="57"/>
    <row r="757" ht="14.25" customHeight="1" s="57"/>
    <row r="758" ht="14.25" customHeight="1" s="57"/>
    <row r="759" ht="14.25" customHeight="1" s="57"/>
    <row r="760" ht="14.25" customHeight="1" s="57"/>
    <row r="761" ht="14.25" customHeight="1" s="57"/>
    <row r="762" ht="14.25" customHeight="1" s="57"/>
    <row r="763" ht="14.25" customHeight="1" s="57"/>
    <row r="764" ht="14.25" customHeight="1" s="57"/>
    <row r="765" ht="14.25" customHeight="1" s="57"/>
    <row r="766" ht="14.25" customHeight="1" s="57"/>
    <row r="767" ht="14.25" customHeight="1" s="57"/>
    <row r="768" ht="14.25" customHeight="1" s="57"/>
    <row r="769" ht="14.25" customHeight="1" s="57"/>
    <row r="770" ht="14.25" customHeight="1" s="57"/>
    <row r="771" ht="14.25" customHeight="1" s="57"/>
    <row r="772" ht="14.25" customHeight="1" s="57"/>
    <row r="773" ht="14.25" customHeight="1" s="57"/>
    <row r="774" ht="14.25" customHeight="1" s="57"/>
    <row r="775" ht="14.25" customHeight="1" s="57"/>
    <row r="776" ht="14.25" customHeight="1" s="57"/>
    <row r="777" ht="14.25" customHeight="1" s="57"/>
    <row r="778" ht="14.25" customHeight="1" s="57"/>
    <row r="779" ht="14.25" customHeight="1" s="57"/>
    <row r="780" ht="14.25" customHeight="1" s="57"/>
    <row r="781" ht="14.25" customHeight="1" s="57"/>
    <row r="782" ht="14.25" customHeight="1" s="57"/>
    <row r="783" ht="14.25" customHeight="1" s="57"/>
    <row r="784" ht="14.25" customHeight="1" s="57"/>
    <row r="785" ht="14.25" customHeight="1" s="57"/>
    <row r="786" ht="14.25" customHeight="1" s="57"/>
    <row r="787" ht="14.25" customHeight="1" s="57"/>
    <row r="788" ht="14.25" customHeight="1" s="57"/>
    <row r="789" ht="14.25" customHeight="1" s="57"/>
    <row r="790" ht="14.25" customHeight="1" s="57"/>
    <row r="791" ht="14.25" customHeight="1" s="57"/>
    <row r="792" ht="14.25" customHeight="1" s="57"/>
    <row r="793" ht="14.25" customHeight="1" s="57"/>
    <row r="794" ht="14.25" customHeight="1" s="57"/>
    <row r="795" ht="14.25" customHeight="1" s="57"/>
    <row r="796" ht="14.25" customHeight="1" s="57"/>
    <row r="797" ht="14.25" customHeight="1" s="57"/>
    <row r="798" ht="14.25" customHeight="1" s="57"/>
    <row r="799" ht="14.25" customHeight="1" s="57"/>
    <row r="800" ht="14.25" customHeight="1" s="57"/>
    <row r="801" ht="14.25" customHeight="1" s="57"/>
    <row r="802" ht="14.25" customHeight="1" s="57"/>
    <row r="803" ht="14.25" customHeight="1" s="57"/>
    <row r="804" ht="14.25" customHeight="1" s="57"/>
    <row r="805" ht="14.25" customHeight="1" s="57"/>
    <row r="806" ht="14.25" customHeight="1" s="57"/>
    <row r="807" ht="14.25" customHeight="1" s="57"/>
    <row r="808" ht="14.25" customHeight="1" s="57"/>
    <row r="809" ht="14.25" customHeight="1" s="57"/>
    <row r="810" ht="14.25" customHeight="1" s="57"/>
    <row r="811" ht="14.25" customHeight="1" s="57"/>
    <row r="812" ht="14.25" customHeight="1" s="57"/>
    <row r="813" ht="14.25" customHeight="1" s="57"/>
    <row r="814" ht="14.25" customHeight="1" s="57"/>
    <row r="815" ht="14.25" customHeight="1" s="57"/>
    <row r="816" ht="14.25" customHeight="1" s="57"/>
    <row r="817" ht="14.25" customHeight="1" s="57"/>
    <row r="818" ht="14.25" customHeight="1" s="57"/>
    <row r="819" ht="14.25" customHeight="1" s="57"/>
    <row r="820" ht="14.25" customHeight="1" s="57"/>
    <row r="821" ht="14.25" customHeight="1" s="57"/>
    <row r="822" ht="14.25" customHeight="1" s="57"/>
    <row r="823" ht="14.25" customHeight="1" s="57"/>
    <row r="824" ht="14.25" customHeight="1" s="57"/>
    <row r="825" ht="14.25" customHeight="1" s="57"/>
    <row r="826" ht="14.25" customHeight="1" s="57"/>
    <row r="827" ht="14.25" customHeight="1" s="57"/>
    <row r="828" ht="14.25" customHeight="1" s="57"/>
    <row r="829" ht="14.25" customHeight="1" s="57"/>
    <row r="830" ht="14.25" customHeight="1" s="57"/>
    <row r="831" ht="14.25" customHeight="1" s="57"/>
    <row r="832" ht="14.25" customHeight="1" s="57"/>
    <row r="833" ht="14.25" customHeight="1" s="57"/>
    <row r="834" ht="14.25" customHeight="1" s="57"/>
    <row r="835" ht="14.25" customHeight="1" s="57"/>
    <row r="836" ht="14.25" customHeight="1" s="57"/>
    <row r="837" ht="14.25" customHeight="1" s="57"/>
    <row r="838" ht="14.25" customHeight="1" s="57"/>
    <row r="839" ht="14.25" customHeight="1" s="57"/>
    <row r="840" ht="14.25" customHeight="1" s="57"/>
    <row r="841" ht="14.25" customHeight="1" s="57"/>
    <row r="842" ht="14.25" customHeight="1" s="57"/>
    <row r="843" ht="14.25" customHeight="1" s="57"/>
    <row r="844" ht="14.25" customHeight="1" s="57"/>
    <row r="845" ht="14.25" customHeight="1" s="57"/>
    <row r="846" ht="14.25" customHeight="1" s="57"/>
    <row r="847" ht="14.25" customHeight="1" s="57"/>
    <row r="848" ht="14.25" customHeight="1" s="57"/>
    <row r="849" ht="14.25" customHeight="1" s="57"/>
    <row r="850" ht="14.25" customHeight="1" s="57"/>
    <row r="851" ht="14.25" customHeight="1" s="57"/>
    <row r="852" ht="14.25" customHeight="1" s="57"/>
    <row r="853" ht="14.25" customHeight="1" s="57"/>
    <row r="854" ht="14.25" customHeight="1" s="57"/>
    <row r="855" ht="14.25" customHeight="1" s="57"/>
    <row r="856" ht="14.25" customHeight="1" s="57"/>
    <row r="857" ht="14.25" customHeight="1" s="57"/>
    <row r="858" ht="14.25" customHeight="1" s="57"/>
    <row r="859" ht="14.25" customHeight="1" s="57"/>
    <row r="860" ht="14.25" customHeight="1" s="57"/>
    <row r="861" ht="14.25" customHeight="1" s="57"/>
    <row r="862" ht="14.25" customHeight="1" s="57"/>
    <row r="863" ht="14.25" customHeight="1" s="57"/>
    <row r="864" ht="14.25" customHeight="1" s="57"/>
    <row r="865" ht="14.25" customHeight="1" s="57"/>
    <row r="866" ht="14.25" customHeight="1" s="57"/>
    <row r="867" ht="14.25" customHeight="1" s="57"/>
    <row r="868" ht="14.25" customHeight="1" s="57"/>
    <row r="869" ht="14.25" customHeight="1" s="57"/>
    <row r="870" ht="14.25" customHeight="1" s="57"/>
    <row r="871" ht="14.25" customHeight="1" s="57"/>
    <row r="872" ht="14.25" customHeight="1" s="57"/>
    <row r="873" ht="14.25" customHeight="1" s="57"/>
    <row r="874" ht="14.25" customHeight="1" s="57"/>
    <row r="875" ht="14.25" customHeight="1" s="57"/>
    <row r="876" ht="14.25" customHeight="1" s="57"/>
    <row r="877" ht="14.25" customHeight="1" s="57"/>
    <row r="878" ht="14.25" customHeight="1" s="57"/>
    <row r="879" ht="14.25" customHeight="1" s="57"/>
    <row r="880" ht="14.25" customHeight="1" s="57"/>
    <row r="881" ht="14.25" customHeight="1" s="57"/>
    <row r="882" ht="14.25" customHeight="1" s="57"/>
    <row r="883" ht="14.25" customHeight="1" s="57"/>
    <row r="884" ht="14.25" customHeight="1" s="57"/>
    <row r="885" ht="14.25" customHeight="1" s="57"/>
    <row r="886" ht="14.25" customHeight="1" s="57"/>
    <row r="887" ht="14.25" customHeight="1" s="57"/>
    <row r="888" ht="14.25" customHeight="1" s="57"/>
    <row r="889" ht="14.25" customHeight="1" s="57"/>
    <row r="890" ht="14.25" customHeight="1" s="57"/>
    <row r="891" ht="14.25" customHeight="1" s="57"/>
    <row r="892" ht="14.25" customHeight="1" s="57"/>
    <row r="893" ht="14.25" customHeight="1" s="57"/>
    <row r="894" ht="14.25" customHeight="1" s="57"/>
    <row r="895" ht="14.25" customHeight="1" s="57"/>
    <row r="896" ht="14.25" customHeight="1" s="57"/>
    <row r="897" ht="14.25" customHeight="1" s="57"/>
    <row r="898" ht="14.25" customHeight="1" s="57"/>
    <row r="899" ht="14.25" customHeight="1" s="57"/>
    <row r="900" ht="14.25" customHeight="1" s="57"/>
    <row r="901" ht="14.25" customHeight="1" s="57"/>
    <row r="902" ht="14.25" customHeight="1" s="57"/>
    <row r="903" ht="14.25" customHeight="1" s="57"/>
    <row r="904" ht="14.25" customHeight="1" s="57"/>
    <row r="905" ht="14.25" customHeight="1" s="57"/>
    <row r="906" ht="14.25" customHeight="1" s="57"/>
    <row r="907" ht="14.25" customHeight="1" s="57"/>
    <row r="908" ht="14.25" customHeight="1" s="57"/>
    <row r="909" ht="14.25" customHeight="1" s="57"/>
    <row r="910" ht="14.25" customHeight="1" s="57"/>
    <row r="911" ht="14.25" customHeight="1" s="57"/>
    <row r="912" ht="14.25" customHeight="1" s="57"/>
    <row r="913" ht="14.25" customHeight="1" s="57"/>
    <row r="914" ht="14.25" customHeight="1" s="57"/>
    <row r="915" ht="14.25" customHeight="1" s="57"/>
    <row r="916" ht="14.25" customHeight="1" s="57"/>
    <row r="917" ht="14.25" customHeight="1" s="57"/>
    <row r="918" ht="14.25" customHeight="1" s="57"/>
    <row r="919" ht="14.25" customHeight="1" s="57"/>
    <row r="920" ht="14.25" customHeight="1" s="57"/>
    <row r="921" ht="14.25" customHeight="1" s="57"/>
    <row r="922" ht="14.25" customHeight="1" s="57"/>
    <row r="923" ht="14.25" customHeight="1" s="57"/>
    <row r="924" ht="14.25" customHeight="1" s="57"/>
    <row r="925" ht="14.25" customHeight="1" s="57"/>
    <row r="926" ht="14.25" customHeight="1" s="57"/>
    <row r="927" ht="14.25" customHeight="1" s="57"/>
    <row r="928" ht="14.25" customHeight="1" s="57"/>
    <row r="929" ht="14.25" customHeight="1" s="57"/>
    <row r="930" ht="14.25" customHeight="1" s="57"/>
    <row r="931" ht="14.25" customHeight="1" s="57"/>
    <row r="932" ht="14.25" customHeight="1" s="57"/>
    <row r="933" ht="14.25" customHeight="1" s="57"/>
    <row r="934" ht="14.25" customHeight="1" s="57"/>
    <row r="935" ht="14.25" customHeight="1" s="57"/>
    <row r="936" ht="14.25" customHeight="1" s="57"/>
    <row r="937" ht="14.25" customHeight="1" s="57"/>
    <row r="938" ht="14.25" customHeight="1" s="57"/>
    <row r="939" ht="14.25" customHeight="1" s="57"/>
    <row r="940" ht="14.25" customHeight="1" s="57"/>
    <row r="941" ht="14.25" customHeight="1" s="57"/>
    <row r="942" ht="14.25" customHeight="1" s="57"/>
    <row r="943" ht="14.25" customHeight="1" s="57"/>
    <row r="944" ht="14.25" customHeight="1" s="57"/>
    <row r="945" ht="14.25" customHeight="1" s="57"/>
    <row r="946" ht="14.25" customHeight="1" s="57"/>
    <row r="947" ht="14.25" customHeight="1" s="57"/>
    <row r="948" ht="14.25" customHeight="1" s="57"/>
    <row r="949" ht="14.25" customHeight="1" s="57"/>
    <row r="950" ht="14.25" customHeight="1" s="57"/>
    <row r="951" ht="14.25" customHeight="1" s="57"/>
    <row r="952" ht="14.25" customHeight="1" s="57"/>
    <row r="953" ht="14.25" customHeight="1" s="57"/>
    <row r="954" ht="14.25" customHeight="1" s="57"/>
    <row r="955" ht="14.25" customHeight="1" s="57"/>
    <row r="956" ht="14.25" customHeight="1" s="57"/>
    <row r="957" ht="14.25" customHeight="1" s="57"/>
    <row r="958" ht="14.25" customHeight="1" s="57"/>
    <row r="959" ht="14.25" customHeight="1" s="57"/>
    <row r="960" ht="14.25" customHeight="1" s="57"/>
    <row r="961" ht="14.25" customHeight="1" s="57"/>
    <row r="962" ht="14.25" customHeight="1" s="57"/>
    <row r="963" ht="14.25" customHeight="1" s="57"/>
    <row r="964" ht="14.25" customHeight="1" s="57"/>
    <row r="965" ht="14.25" customHeight="1" s="57"/>
    <row r="966" ht="14.25" customHeight="1" s="57"/>
    <row r="967" ht="14.25" customHeight="1" s="57"/>
    <row r="968" ht="14.25" customHeight="1" s="57"/>
    <row r="969" ht="14.25" customHeight="1" s="57"/>
    <row r="970" ht="14.25" customHeight="1" s="57"/>
    <row r="971" ht="14.25" customHeight="1" s="57"/>
    <row r="972" ht="14.25" customHeight="1" s="57"/>
    <row r="973" ht="14.25" customHeight="1" s="57"/>
    <row r="974" ht="14.25" customHeight="1" s="57"/>
    <row r="975" ht="14.25" customHeight="1" s="57"/>
    <row r="976" ht="14.25" customHeight="1" s="57"/>
    <row r="977" ht="14.25" customHeight="1" s="57"/>
    <row r="978" ht="14.25" customHeight="1" s="57"/>
    <row r="979" ht="14.25" customHeight="1" s="57"/>
    <row r="980" ht="14.25" customHeight="1" s="57"/>
    <row r="981" ht="14.25" customHeight="1" s="57"/>
    <row r="982" ht="14.25" customHeight="1" s="57"/>
    <row r="983" ht="14.25" customHeight="1" s="57"/>
    <row r="984" ht="14.25" customHeight="1" s="57"/>
    <row r="985" ht="14.25" customHeight="1" s="57"/>
    <row r="986" ht="14.25" customHeight="1" s="57"/>
    <row r="987" ht="14.25" customHeight="1" s="57"/>
    <row r="988" ht="14.25" customHeight="1" s="57"/>
    <row r="989" ht="14.25" customHeight="1" s="57"/>
    <row r="990" ht="14.25" customHeight="1" s="57"/>
    <row r="991" ht="14.25" customHeight="1" s="57"/>
    <row r="992" ht="14.25" customHeight="1" s="57"/>
    <row r="993" ht="14.25" customHeight="1" s="57"/>
    <row r="994" ht="14.25" customHeight="1" s="57"/>
    <row r="995" ht="14.25" customHeight="1" s="57"/>
    <row r="996" ht="14.25" customHeight="1" s="57"/>
    <row r="997" ht="14.25" customHeight="1" s="57"/>
    <row r="998" ht="14.25" customHeight="1" s="57"/>
    <row r="999" ht="14.25" customHeight="1" s="57"/>
    <row r="1000" ht="14.25" customHeight="1" s="57"/>
  </sheetData>
  <mergeCells count="12">
    <mergeCell ref="C4:C7"/>
    <mergeCell ref="C14:C17"/>
    <mergeCell ref="B14:B17"/>
    <mergeCell ref="C8:C13"/>
    <mergeCell ref="B4:B7"/>
    <mergeCell ref="B8:B13"/>
    <mergeCell ref="B18:B21"/>
    <mergeCell ref="B27:D27"/>
    <mergeCell ref="B22:B26"/>
    <mergeCell ref="B2:E2"/>
    <mergeCell ref="C22:C26"/>
    <mergeCell ref="C18:C2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SUMUDUNG KRISTOP</dc:creator>
  <dcterms:created xsi:type="dcterms:W3CDTF">2025-11-21T07:02:27Z</dcterms:created>
  <dcterms:modified xsi:type="dcterms:W3CDTF">2026-07-07T17:44:12Z</dcterms:modified>
  <cp:lastModifiedBy>Widi Ferdian</cp:lastModifiedBy>
</cp:coreProperties>
</file>

<file path=docProps/custom.xml><?xml version="1.0" encoding="utf-8"?>
<Properties xmlns:vt="http://schemas.openxmlformats.org/officeDocument/2006/docPropsVTypes" xmlns="http://schemas.openxmlformats.org/officeDocument/2006/custom-properties">
  <property name="MSIP_Label_defa4170-0d19-0005-0004-bc88714345d2_Enabled" fmtid="{D5CDD505-2E9C-101B-9397-08002B2CF9AE}" pid="2">
    <vt:lpwstr>true</vt:lpwstr>
  </property>
  <property name="MSIP_Label_defa4170-0d19-0005-0004-bc88714345d2_SetDate" fmtid="{D5CDD505-2E9C-101B-9397-08002B2CF9AE}" pid="3">
    <vt:lpwstr>2025-11-21T07:02:36Z</vt:lpwstr>
  </property>
  <property name="MSIP_Label_defa4170-0d19-0005-0004-bc88714345d2_Method" fmtid="{D5CDD505-2E9C-101B-9397-08002B2CF9AE}" pid="4">
    <vt:lpwstr>Standard</vt:lpwstr>
  </property>
  <property name="MSIP_Label_defa4170-0d19-0005-0004-bc88714345d2_Name" fmtid="{D5CDD505-2E9C-101B-9397-08002B2CF9AE}" pid="5">
    <vt:lpwstr>defa4170-0d19-0005-0004-bc88714345d2</vt:lpwstr>
  </property>
  <property name="MSIP_Label_defa4170-0d19-0005-0004-bc88714345d2_SiteId" fmtid="{D5CDD505-2E9C-101B-9397-08002B2CF9AE}" pid="6">
    <vt:lpwstr>0e48f9d7-2701-4b80-bb71-211bde24768a</vt:lpwstr>
  </property>
  <property name="MSIP_Label_defa4170-0d19-0005-0004-bc88714345d2_ActionId" fmtid="{D5CDD505-2E9C-101B-9397-08002B2CF9AE}" pid="7">
    <vt:lpwstr>d8d0685e-3a87-489c-86ec-93315a0c0998</vt:lpwstr>
  </property>
  <property name="MSIP_Label_defa4170-0d19-0005-0004-bc88714345d2_ContentBits" fmtid="{D5CDD505-2E9C-101B-9397-08002B2CF9AE}" pid="8">
    <vt:lpwstr>0</vt:lpwstr>
  </property>
  <property name="MSIP_Label_defa4170-0d19-0005-0004-bc88714345d2_Tag" fmtid="{D5CDD505-2E9C-101B-9397-08002B2CF9AE}" pid="9">
    <vt:lpwstr>10, 3, 0, 1</vt:lpwstr>
  </property>
</Properties>
</file>